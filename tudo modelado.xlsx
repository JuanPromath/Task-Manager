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\Desktop\Task manager\"/>
    </mc:Choice>
  </mc:AlternateContent>
  <xr:revisionPtr revIDLastSave="0" documentId="13_ncr:1_{DF1CEA4C-AAE4-49C8-9961-B88C8190371A}" xr6:coauthVersionLast="47" xr6:coauthVersionMax="47" xr10:uidLastSave="{00000000-0000-0000-0000-000000000000}"/>
  <bookViews>
    <workbookView xWindow="3225" yWindow="1770" windowWidth="21600" windowHeight="11385" activeTab="2" xr2:uid="{C6185A76-6520-46ED-8A33-B9C8D95F8CD0}"/>
  </bookViews>
  <sheets>
    <sheet name="Ciclo" sheetId="1" r:id="rId1"/>
    <sheet name="uniao ciclo atividade" sheetId="3" r:id="rId2"/>
    <sheet name="RegistroTodos (2)" sheetId="8" r:id="rId3"/>
    <sheet name="RegistroTodos" sheetId="7" r:id="rId4"/>
    <sheet name="sessao" sheetId="4" r:id="rId5"/>
    <sheet name="Atividade" sheetId="2" r:id="rId6"/>
  </sheets>
  <definedNames>
    <definedName name="DadosExternos_1" localSheetId="2" hidden="1">'RegistroTodos (2)'!$A$1:$J$66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1" i="4" l="1"/>
  <c r="O22" i="4"/>
  <c r="O23" i="4"/>
  <c r="O24" i="4"/>
  <c r="O25" i="4"/>
  <c r="O26" i="4"/>
  <c r="O27" i="4"/>
  <c r="O28" i="4"/>
  <c r="O29" i="4"/>
  <c r="O30" i="4"/>
  <c r="O31" i="4"/>
  <c r="O20" i="4"/>
  <c r="D20" i="4"/>
  <c r="D21" i="4"/>
  <c r="D22" i="4"/>
  <c r="D23" i="4"/>
  <c r="D24" i="4"/>
  <c r="D25" i="4"/>
  <c r="D26" i="4"/>
  <c r="D27" i="4"/>
  <c r="D28" i="4"/>
  <c r="D29" i="4"/>
  <c r="D30" i="4"/>
  <c r="D31" i="4"/>
  <c r="C21" i="4"/>
  <c r="C22" i="4"/>
  <c r="C23" i="4"/>
  <c r="C24" i="4"/>
  <c r="C25" i="4"/>
  <c r="C26" i="4"/>
  <c r="C27" i="4"/>
  <c r="C28" i="4"/>
  <c r="C29" i="4"/>
  <c r="C30" i="4"/>
  <c r="C31" i="4"/>
  <c r="C20" i="4"/>
  <c r="D9" i="4"/>
  <c r="D10" i="4"/>
  <c r="D11" i="4"/>
  <c r="D12" i="4"/>
  <c r="D13" i="4"/>
  <c r="D14" i="4"/>
  <c r="D15" i="4"/>
  <c r="D16" i="4"/>
  <c r="D17" i="4"/>
  <c r="D18" i="4"/>
  <c r="D19" i="4"/>
  <c r="C9" i="4"/>
  <c r="C10" i="4"/>
  <c r="C11" i="4"/>
  <c r="C12" i="4"/>
  <c r="C13" i="4"/>
  <c r="C14" i="4"/>
  <c r="C15" i="4"/>
  <c r="C16" i="4"/>
  <c r="C17" i="4"/>
  <c r="C18" i="4"/>
  <c r="C19" i="4"/>
  <c r="C8" i="4"/>
  <c r="D8" i="4"/>
  <c r="C5" i="4"/>
  <c r="C6" i="4"/>
  <c r="C7" i="4"/>
  <c r="D5" i="4"/>
  <c r="D6" i="4"/>
  <c r="D7" i="4"/>
  <c r="D3" i="4"/>
  <c r="D4" i="4"/>
  <c r="D2" i="4"/>
  <c r="C3" i="4"/>
  <c r="C4" i="4"/>
  <c r="C2" i="4"/>
  <c r="E3" i="3"/>
  <c r="E4" i="3"/>
  <c r="E5" i="3"/>
  <c r="E6" i="3"/>
  <c r="E7" i="3"/>
  <c r="E8" i="3"/>
  <c r="E9" i="3"/>
  <c r="E10" i="3"/>
  <c r="E11" i="3"/>
  <c r="E12" i="3"/>
  <c r="E13" i="3"/>
  <c r="D3" i="3"/>
  <c r="D4" i="3"/>
  <c r="D5" i="3"/>
  <c r="D6" i="3"/>
  <c r="D7" i="3"/>
  <c r="D8" i="3"/>
  <c r="D9" i="3"/>
  <c r="D10" i="3"/>
  <c r="D11" i="3"/>
  <c r="D12" i="3"/>
  <c r="D13" i="3"/>
  <c r="E2" i="3"/>
  <c r="D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079F2F-87D3-445A-83CE-02C6F5A14DA9}" keepAlive="1" name="Consulta - RegistroTodos" description="Conexão com a consulta 'RegistroTodos' na pasta de trabalho." type="5" refreshedVersion="8" background="1" saveData="1">
    <dbPr connection="Provider=Microsoft.Mashup.OleDb.1;Data Source=$Workbook$;Location=RegistroTodos;Extended Properties=&quot;&quot;" command="SELECT * FROM [RegistroTodos]"/>
  </connection>
</connections>
</file>

<file path=xl/sharedStrings.xml><?xml version="1.0" encoding="utf-8"?>
<sst xmlns="http://schemas.openxmlformats.org/spreadsheetml/2006/main" count="378" uniqueCount="101">
  <si>
    <t>cod ciclo</t>
  </si>
  <si>
    <t>Nome</t>
  </si>
  <si>
    <t>tempo total</t>
  </si>
  <si>
    <t>cod atividade</t>
  </si>
  <si>
    <t xml:space="preserve"> % do tempo total</t>
  </si>
  <si>
    <t>tempo a fazer</t>
  </si>
  <si>
    <t>nome ciclo</t>
  </si>
  <si>
    <t>Banco de dados</t>
  </si>
  <si>
    <t>logica e programação</t>
  </si>
  <si>
    <t>projeto TK</t>
  </si>
  <si>
    <t>Lingua portuguesa</t>
  </si>
  <si>
    <t>história</t>
  </si>
  <si>
    <t>quimica</t>
  </si>
  <si>
    <t>Matemática</t>
  </si>
  <si>
    <t>geografia</t>
  </si>
  <si>
    <t>a vida intelectual sertillanges</t>
  </si>
  <si>
    <t>crime e castigo</t>
  </si>
  <si>
    <t>escrita</t>
  </si>
  <si>
    <t>violao</t>
  </si>
  <si>
    <t>Ciclo Faculdade</t>
  </si>
  <si>
    <t>tempo total decimal</t>
  </si>
  <si>
    <t>tempo a fazer decimal</t>
  </si>
  <si>
    <t>cod cadastro</t>
  </si>
  <si>
    <t>tempo total atv</t>
  </si>
  <si>
    <t>nome sessao</t>
  </si>
  <si>
    <t>cod atv</t>
  </si>
  <si>
    <t>nome atv</t>
  </si>
  <si>
    <t>gp</t>
  </si>
  <si>
    <t>faculdade e TI</t>
  </si>
  <si>
    <t>vestibulares e concursos públicos</t>
  </si>
  <si>
    <t>hobbies</t>
  </si>
  <si>
    <t>Estudos Banco de dados</t>
  </si>
  <si>
    <t xml:space="preserve">tempo total atv decimal </t>
  </si>
  <si>
    <t>sessao 1</t>
  </si>
  <si>
    <t>sessao 2</t>
  </si>
  <si>
    <t>sessao 3</t>
  </si>
  <si>
    <t>prioridade 1</t>
  </si>
  <si>
    <t>prioridade 2</t>
  </si>
  <si>
    <t>Estudos logica e programação</t>
  </si>
  <si>
    <t>Estudos Lingua portuguesa</t>
  </si>
  <si>
    <t>Estudos Matemática</t>
  </si>
  <si>
    <t>Estudos violão</t>
  </si>
  <si>
    <t>prioridade 3</t>
  </si>
  <si>
    <t>acrescimo decimal</t>
  </si>
  <si>
    <t>ultimo registro</t>
  </si>
  <si>
    <t>inicio</t>
  </si>
  <si>
    <t>fim</t>
  </si>
  <si>
    <t>data</t>
  </si>
  <si>
    <t>nome atividade</t>
  </si>
  <si>
    <t>cod reg anterior</t>
  </si>
  <si>
    <t>projeto tk</t>
  </si>
  <si>
    <t/>
  </si>
  <si>
    <t>Projeto tk</t>
  </si>
  <si>
    <t>cod registro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</si>
  <si>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</si>
  <si>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</si>
  <si>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</si>
  <si>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</si>
  <si>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</si>
  <si>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</si>
  <si>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</si>
  <si>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</si>
  <si>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</si>
  <si>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</si>
  <si>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</si>
  <si>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</si>
  <si>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14</t>
  </si>
  <si>
    <t>15</t>
  </si>
  <si>
    <t>16</t>
  </si>
  <si>
    <t>18</t>
  </si>
  <si>
    <t>19</t>
  </si>
  <si>
    <t>20</t>
  </si>
  <si>
    <t>21</t>
  </si>
  <si>
    <t>25</t>
  </si>
  <si>
    <t>26</t>
  </si>
  <si>
    <t>cod reg andiantado</t>
  </si>
  <si>
    <t>28</t>
  </si>
  <si>
    <t>31</t>
  </si>
  <si>
    <t>29</t>
  </si>
  <si>
    <t>30</t>
  </si>
  <si>
    <t>32</t>
  </si>
  <si>
    <t>33</t>
  </si>
  <si>
    <t>34</t>
  </si>
  <si>
    <t>35</t>
  </si>
  <si>
    <t>36</t>
  </si>
  <si>
    <t>37</t>
  </si>
  <si>
    <t>38</t>
  </si>
  <si>
    <t>39</t>
  </si>
  <si>
    <t>41</t>
  </si>
  <si>
    <t>42</t>
  </si>
  <si>
    <t>44</t>
  </si>
  <si>
    <t>45</t>
  </si>
  <si>
    <t>54</t>
  </si>
  <si>
    <t>46</t>
  </si>
  <si>
    <t>48</t>
  </si>
  <si>
    <t>52</t>
  </si>
  <si>
    <t>51</t>
  </si>
  <si>
    <t>49</t>
  </si>
  <si>
    <t>50</t>
  </si>
  <si>
    <t>47</t>
  </si>
  <si>
    <t>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</si>
</sst>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1" fontId="0" fillId="0" borderId="0" xfId="0" applyNumberFormat="1"/>
    <xf numFmtId="46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19" formatCode="dd/mm/yyyy"/>
    </dxf>
    <dxf>
      <numFmt numFmtId="164" formatCode="[$-F400]h:mm:ss\ AM/PM"/>
    </dxf>
    <dxf>
      <numFmt numFmtId="164" formatCode="[$-F400]h:mm:ss\ AM/P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C95DFA36-0CE8-46A2-9239-7283E9D61DC2}" autoFormatId="16" applyNumberFormats="0" applyBorderFormats="0" applyFontFormats="0" applyPatternFormats="0" applyAlignmentFormats="0" applyWidthHeightFormats="0">
  <queryTableRefresh nextId="12">
    <queryTableFields count="10">
      <queryTableField id="1" name="cod cadastro" tableColumnId="1"/>
      <queryTableField id="2" name="cod registro" tableColumnId="2"/>
      <queryTableField id="3" name="inicio" tableColumnId="3"/>
      <queryTableField id="4" name="fim" tableColumnId="4"/>
      <queryTableField id="5" name="data" tableColumnId="5"/>
      <queryTableField id="6" name="nome atividade" tableColumnId="6"/>
      <queryTableField id="7" name="tempo a fazer" tableColumnId="7"/>
      <queryTableField id="8" name="tempo a fazer decimal" tableColumnId="8"/>
      <queryTableField id="9" name="cod reg anterior" tableColumnId="9"/>
      <queryTableField id="10" name="cod reg andiantado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3627980-7B42-47A2-8789-B4DEB7E2A450}" name="RegistroTodos" displayName="RegistroTodos" ref="A1:J66" tableType="queryTable" totalsRowShown="0">
  <autoFilter ref="A1:J66" xr:uid="{73627980-7B42-47A2-8789-B4DEB7E2A450}"/>
  <tableColumns count="10">
    <tableColumn id="1" xr3:uid="{D153F54A-C01B-4178-B5AB-9B81A8A966EE}" uniqueName="1" name="cod cadastro" queryTableFieldId="1"/>
    <tableColumn id="2" xr3:uid="{A545CF33-392A-48E9-BEAE-3EA035B39D75}" uniqueName="2" name="cod registro" queryTableFieldId="2"/>
    <tableColumn id="3" xr3:uid="{4C188E81-D65A-4CE4-892D-291E059B7D4B}" uniqueName="3" name="inicio" queryTableFieldId="3" dataDxfId="6"/>
    <tableColumn id="4" xr3:uid="{99319718-E4C5-4A65-B030-ADC70DBB0FF7}" uniqueName="4" name="fim" queryTableFieldId="4" dataDxfId="5"/>
    <tableColumn id="5" xr3:uid="{D2AA8AC8-8581-4BCA-A49E-8D728F438A45}" uniqueName="5" name="data" queryTableFieldId="5" dataDxfId="4"/>
    <tableColumn id="6" xr3:uid="{2B25965B-FAFA-4985-834B-4EFD57FB4459}" uniqueName="6" name="nome atividade" queryTableFieldId="6" dataDxfId="3"/>
    <tableColumn id="7" xr3:uid="{21D8ADA6-6403-4479-81AE-7F056282E503}" uniqueName="7" name="tempo a fazer" queryTableFieldId="7" dataDxfId="2"/>
    <tableColumn id="8" xr3:uid="{B8B39EF9-C21F-450E-A0B1-F7EE7B8EB162}" uniqueName="8" name="tempo a fazer decimal" queryTableFieldId="8"/>
    <tableColumn id="9" xr3:uid="{03173B7E-3D4B-4ED3-8C2F-F746B149AF83}" uniqueName="9" name="cod reg anterior" queryTableFieldId="9" dataDxfId="1"/>
    <tableColumn id="10" xr3:uid="{66455804-2A3C-4514-B5E0-5F73EDB07D00}" uniqueName="10" name="cod reg andiantado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43EA6-B677-4BA9-8F53-DBDD30F3CB83}">
  <dimension ref="A1:D2"/>
  <sheetViews>
    <sheetView workbookViewId="0">
      <selection activeCell="A2" sqref="A2"/>
    </sheetView>
  </sheetViews>
  <sheetFormatPr defaultRowHeight="15" x14ac:dyDescent="0.25"/>
  <cols>
    <col min="2" max="2" width="15.28515625" customWidth="1"/>
    <col min="3" max="3" width="16.28515625" customWidth="1"/>
    <col min="4" max="4" width="19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20</v>
      </c>
    </row>
    <row r="2" spans="1:4" x14ac:dyDescent="0.25">
      <c r="A2">
        <v>1</v>
      </c>
      <c r="B2" t="s">
        <v>19</v>
      </c>
      <c r="C2" s="1">
        <v>0.4163425925925926</v>
      </c>
      <c r="D2">
        <v>9.9923000000000002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DC9-7D91-47EA-88B0-98B655F43EBC}">
  <dimension ref="A1:F13"/>
  <sheetViews>
    <sheetView workbookViewId="0">
      <selection activeCell="H13" sqref="H13"/>
    </sheetView>
  </sheetViews>
  <sheetFormatPr defaultRowHeight="15" x14ac:dyDescent="0.25"/>
  <cols>
    <col min="1" max="1" width="14.42578125" customWidth="1"/>
    <col min="2" max="2" width="14.140625" customWidth="1"/>
    <col min="3" max="3" width="16.85546875" customWidth="1"/>
    <col min="4" max="4" width="21.42578125" customWidth="1"/>
    <col min="5" max="5" width="14.42578125" customWidth="1"/>
    <col min="6" max="6" width="13.85546875" customWidth="1"/>
  </cols>
  <sheetData>
    <row r="1" spans="1:6" x14ac:dyDescent="0.25">
      <c r="A1" t="s">
        <v>3</v>
      </c>
      <c r="B1" t="s">
        <v>0</v>
      </c>
      <c r="C1" t="s">
        <v>4</v>
      </c>
      <c r="D1" t="s">
        <v>21</v>
      </c>
      <c r="E1" t="s">
        <v>5</v>
      </c>
      <c r="F1" t="s">
        <v>27</v>
      </c>
    </row>
    <row r="2" spans="1:6" x14ac:dyDescent="0.25">
      <c r="A2">
        <v>1</v>
      </c>
      <c r="B2">
        <v>1</v>
      </c>
      <c r="C2">
        <v>14</v>
      </c>
      <c r="D2">
        <f>Ciclo!$D$2 * (C2/100)</f>
        <v>1.3989220000000002</v>
      </c>
      <c r="E2" s="1">
        <f>Ciclo!$C$2 * (C2/100)</f>
        <v>5.8287962962962972E-2</v>
      </c>
      <c r="F2" t="s">
        <v>28</v>
      </c>
    </row>
    <row r="3" spans="1:6" x14ac:dyDescent="0.25">
      <c r="A3">
        <v>2</v>
      </c>
      <c r="B3">
        <v>1</v>
      </c>
      <c r="C3">
        <v>17</v>
      </c>
      <c r="D3">
        <f>Ciclo!$D$2 * (C3/100)</f>
        <v>1.6986910000000002</v>
      </c>
      <c r="E3" s="1">
        <f>Ciclo!$C$2 * (C3/100)</f>
        <v>7.0778240740740753E-2</v>
      </c>
      <c r="F3" t="s">
        <v>28</v>
      </c>
    </row>
    <row r="4" spans="1:6" x14ac:dyDescent="0.25">
      <c r="A4">
        <v>3</v>
      </c>
      <c r="B4">
        <v>1</v>
      </c>
      <c r="C4">
        <v>13</v>
      </c>
      <c r="D4">
        <f>Ciclo!$D$2 * (C4/100)</f>
        <v>1.298999</v>
      </c>
      <c r="E4" s="1">
        <f>Ciclo!$C$2 * (C4/100)</f>
        <v>5.412453703703704E-2</v>
      </c>
      <c r="F4" t="s">
        <v>28</v>
      </c>
    </row>
    <row r="5" spans="1:6" x14ac:dyDescent="0.25">
      <c r="A5">
        <v>4</v>
      </c>
      <c r="B5">
        <v>1</v>
      </c>
      <c r="C5">
        <v>10</v>
      </c>
      <c r="D5">
        <f>Ciclo!$D$2 * (C5/100)</f>
        <v>0.99923000000000006</v>
      </c>
      <c r="E5" s="1">
        <f>Ciclo!$C$2 * (C5/100)</f>
        <v>4.163425925925926E-2</v>
      </c>
      <c r="F5" t="s">
        <v>29</v>
      </c>
    </row>
    <row r="6" spans="1:6" x14ac:dyDescent="0.25">
      <c r="A6">
        <v>5</v>
      </c>
      <c r="B6">
        <v>1</v>
      </c>
      <c r="C6">
        <v>8</v>
      </c>
      <c r="D6">
        <f>Ciclo!$D$2 * (C6/100)</f>
        <v>0.79938399999999998</v>
      </c>
      <c r="E6" s="1">
        <f>Ciclo!$C$2 * (C6/100)</f>
        <v>3.3307407407407411E-2</v>
      </c>
      <c r="F6" t="s">
        <v>29</v>
      </c>
    </row>
    <row r="7" spans="1:6" x14ac:dyDescent="0.25">
      <c r="A7">
        <v>6</v>
      </c>
      <c r="B7">
        <v>1</v>
      </c>
      <c r="C7">
        <v>7</v>
      </c>
      <c r="D7">
        <f>Ciclo!$D$2 * (C7/100)</f>
        <v>0.69946100000000011</v>
      </c>
      <c r="E7" s="1">
        <f>Ciclo!$C$2 * (C7/100)</f>
        <v>2.9143981481481486E-2</v>
      </c>
      <c r="F7" t="s">
        <v>29</v>
      </c>
    </row>
    <row r="8" spans="1:6" x14ac:dyDescent="0.25">
      <c r="A8">
        <v>7</v>
      </c>
      <c r="B8">
        <v>1</v>
      </c>
      <c r="C8">
        <v>6</v>
      </c>
      <c r="D8">
        <f>Ciclo!$D$2 * (C8/100)</f>
        <v>0.59953800000000002</v>
      </c>
      <c r="E8" s="1">
        <f>Ciclo!$C$2 * (C8/100)</f>
        <v>2.4980555555555554E-2</v>
      </c>
      <c r="F8" t="s">
        <v>29</v>
      </c>
    </row>
    <row r="9" spans="1:6" x14ac:dyDescent="0.25">
      <c r="A9">
        <v>8</v>
      </c>
      <c r="B9">
        <v>1</v>
      </c>
      <c r="C9">
        <v>6</v>
      </c>
      <c r="D9">
        <f>Ciclo!$D$2 * (C9/100)</f>
        <v>0.59953800000000002</v>
      </c>
      <c r="E9" s="1">
        <f>Ciclo!$C$2 * (C9/100)</f>
        <v>2.4980555555555554E-2</v>
      </c>
      <c r="F9" t="s">
        <v>29</v>
      </c>
    </row>
    <row r="10" spans="1:6" x14ac:dyDescent="0.25">
      <c r="A10">
        <v>9</v>
      </c>
      <c r="B10">
        <v>1</v>
      </c>
      <c r="C10">
        <v>5</v>
      </c>
      <c r="D10">
        <f>Ciclo!$D$2 * (C10/100)</f>
        <v>0.49961500000000003</v>
      </c>
      <c r="E10" s="1">
        <f>Ciclo!$C$2 * (C10/100)</f>
        <v>2.081712962962963E-2</v>
      </c>
      <c r="F10" t="s">
        <v>30</v>
      </c>
    </row>
    <row r="11" spans="1:6" x14ac:dyDescent="0.25">
      <c r="A11">
        <v>10</v>
      </c>
      <c r="B11">
        <v>1</v>
      </c>
      <c r="C11">
        <v>5</v>
      </c>
      <c r="D11">
        <f>Ciclo!$D$2 * (C11/100)</f>
        <v>0.49961500000000003</v>
      </c>
      <c r="E11" s="1">
        <f>Ciclo!$C$2 * (C11/100)</f>
        <v>2.081712962962963E-2</v>
      </c>
      <c r="F11" t="s">
        <v>30</v>
      </c>
    </row>
    <row r="12" spans="1:6" x14ac:dyDescent="0.25">
      <c r="A12">
        <v>11</v>
      </c>
      <c r="B12">
        <v>1</v>
      </c>
      <c r="C12">
        <v>5</v>
      </c>
      <c r="D12">
        <f>Ciclo!$D$2 * (C12/100)</f>
        <v>0.49961500000000003</v>
      </c>
      <c r="E12" s="1">
        <f>Ciclo!$C$2 * (C12/100)</f>
        <v>2.081712962962963E-2</v>
      </c>
      <c r="F12" t="s">
        <v>30</v>
      </c>
    </row>
    <row r="13" spans="1:6" x14ac:dyDescent="0.25">
      <c r="A13">
        <v>12</v>
      </c>
      <c r="B13">
        <v>1</v>
      </c>
      <c r="C13">
        <v>4</v>
      </c>
      <c r="D13">
        <f>Ciclo!$D$2 * (C13/100)</f>
        <v>0.39969199999999999</v>
      </c>
      <c r="E13" s="1">
        <f>Ciclo!$C$2 * (C13/100)</f>
        <v>1.6653703703703705E-2</v>
      </c>
      <c r="F13" t="s">
        <v>30</v>
      </c>
    </row>
  </sheetData>
  <pageMargins left="0.511811024" right="0.511811024" top="0.78740157499999996" bottom="0.78740157499999996" header="0.31496062000000002" footer="0.31496062000000002"/>
  <pageSetup paperSize="9" orientation="landscape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69995-3D30-4D5F-AEED-C34FE04AFFD6}">
  <dimension ref="A1:J66"/>
  <sheetViews>
    <sheetView tabSelected="1" workbookViewId="0">
      <selection activeCell="G56" sqref="G56"/>
    </sheetView>
  </sheetViews>
  <sheetFormatPr defaultRowHeight="15" x14ac:dyDescent="0.25"/>
  <cols>
    <col min="1" max="1" width="14.28515625" bestFit="1" customWidth="1"/>
    <col min="2" max="2" width="13.7109375" bestFit="1" customWidth="1"/>
    <col min="3" max="4" width="8.140625" bestFit="1" customWidth="1"/>
    <col min="5" max="5" width="10.7109375" bestFit="1" customWidth="1"/>
    <col min="6" max="6" width="27.42578125" bestFit="1" customWidth="1"/>
    <col min="7" max="7" width="15.5703125" bestFit="1" customWidth="1"/>
    <col min="8" max="8" width="23.140625" bestFit="1" customWidth="1"/>
    <col min="9" max="9" width="17.42578125" bestFit="1" customWidth="1"/>
    <col min="10" max="10" width="20.42578125" bestFit="1" customWidth="1"/>
  </cols>
  <sheetData>
    <row r="1" spans="1:10" x14ac:dyDescent="0.25">
      <c r="A1" t="s">
        <v>22</v>
      </c>
      <c r="B1" t="s">
        <v>53</v>
      </c>
      <c r="C1" t="s">
        <v>45</v>
      </c>
      <c r="D1" t="s">
        <v>46</v>
      </c>
      <c r="E1" t="s">
        <v>47</v>
      </c>
      <c r="F1" t="s">
        <v>48</v>
      </c>
      <c r="G1" t="s">
        <v>5</v>
      </c>
      <c r="H1" t="s">
        <v>21</v>
      </c>
      <c r="I1" t="s">
        <v>49</v>
      </c>
      <c r="J1" t="s">
        <v>75</v>
      </c>
    </row>
    <row r="2" spans="1:10" x14ac:dyDescent="0.25">
      <c r="A2">
        <v>5</v>
      </c>
      <c r="B2">
        <v>1</v>
      </c>
      <c r="C2" s="3">
        <v>0.28490740740740739</v>
      </c>
      <c r="D2" s="3">
        <v>0.36403935185185188</v>
      </c>
      <c r="E2" s="4">
        <v>45835</v>
      </c>
      <c r="F2" t="s">
        <v>50</v>
      </c>
      <c r="G2" s="3">
        <v>0.10753472222222223</v>
      </c>
      <c r="H2">
        <v>2.581</v>
      </c>
      <c r="I2" t="s">
        <v>51</v>
      </c>
      <c r="J2" t="s">
        <v>51</v>
      </c>
    </row>
    <row r="3" spans="1:10" x14ac:dyDescent="0.25">
      <c r="A3">
        <v>2</v>
      </c>
      <c r="B3">
        <v>2</v>
      </c>
      <c r="C3" s="3">
        <v>0.66423611111111114</v>
      </c>
      <c r="D3" s="3">
        <v>0.70086805555555554</v>
      </c>
      <c r="E3" s="4">
        <v>45835</v>
      </c>
      <c r="F3" t="s">
        <v>38</v>
      </c>
      <c r="G3" s="3">
        <v>0.15586805555555555</v>
      </c>
      <c r="H3">
        <v>3.7410000000000001</v>
      </c>
      <c r="I3" t="s">
        <v>51</v>
      </c>
      <c r="J3" t="s">
        <v>51</v>
      </c>
    </row>
    <row r="4" spans="1:10" x14ac:dyDescent="0.25">
      <c r="A4">
        <v>6</v>
      </c>
      <c r="B4">
        <v>3</v>
      </c>
      <c r="C4" s="3">
        <v>0.73655092592592597</v>
      </c>
      <c r="D4" s="3">
        <v>0.75271990740740746</v>
      </c>
      <c r="E4" s="4">
        <v>45835</v>
      </c>
      <c r="F4" t="s">
        <v>41</v>
      </c>
      <c r="G4" s="3">
        <v>0.20549768518518519</v>
      </c>
      <c r="H4">
        <v>4.9320000000000004</v>
      </c>
      <c r="I4" t="s">
        <v>51</v>
      </c>
      <c r="J4" t="s">
        <v>51</v>
      </c>
    </row>
    <row r="5" spans="1:10" x14ac:dyDescent="0.25">
      <c r="A5">
        <v>1</v>
      </c>
      <c r="B5">
        <v>4</v>
      </c>
      <c r="C5" s="3">
        <v>0.54131944444444446</v>
      </c>
      <c r="D5" s="3">
        <v>0.65532407407407411</v>
      </c>
      <c r="E5" s="4">
        <v>45839</v>
      </c>
      <c r="F5" t="s">
        <v>31</v>
      </c>
      <c r="G5" s="3">
        <v>7.8495370370370368E-2</v>
      </c>
      <c r="H5">
        <v>1.8839999999999999</v>
      </c>
      <c r="I5" t="s">
        <v>51</v>
      </c>
      <c r="J5" t="s">
        <v>51</v>
      </c>
    </row>
    <row r="6" spans="1:10" x14ac:dyDescent="0.25">
      <c r="A6">
        <v>3</v>
      </c>
      <c r="B6">
        <v>5</v>
      </c>
      <c r="C6" s="3">
        <v>0.75641203703703708</v>
      </c>
      <c r="D6" s="3">
        <v>0.80099537037037039</v>
      </c>
      <c r="E6" s="4">
        <v>45839</v>
      </c>
      <c r="F6" t="s">
        <v>39</v>
      </c>
      <c r="G6" s="3">
        <v>0.14208333333333334</v>
      </c>
      <c r="H6">
        <v>3.41</v>
      </c>
      <c r="I6" t="s">
        <v>51</v>
      </c>
      <c r="J6" t="s">
        <v>51</v>
      </c>
    </row>
    <row r="7" spans="1:10" x14ac:dyDescent="0.25">
      <c r="A7">
        <v>5</v>
      </c>
      <c r="B7">
        <v>6</v>
      </c>
      <c r="C7" s="3">
        <v>0.88543981481481482</v>
      </c>
      <c r="D7" s="3">
        <v>0.9095833333333333</v>
      </c>
      <c r="E7" s="4">
        <v>45839</v>
      </c>
      <c r="F7" t="s">
        <v>50</v>
      </c>
      <c r="G7" s="3">
        <v>8.3391203703703703E-2</v>
      </c>
      <c r="H7">
        <v>2.0013999999999998</v>
      </c>
      <c r="I7" t="s">
        <v>54</v>
      </c>
      <c r="J7" t="s">
        <v>51</v>
      </c>
    </row>
    <row r="8" spans="1:10" x14ac:dyDescent="0.25">
      <c r="A8">
        <v>5</v>
      </c>
      <c r="B8">
        <v>7</v>
      </c>
      <c r="C8" s="3">
        <v>0.39109953703703704</v>
      </c>
      <c r="D8" s="3">
        <v>0.41863425925925923</v>
      </c>
      <c r="E8" s="4">
        <v>45840</v>
      </c>
      <c r="F8" t="s">
        <v>52</v>
      </c>
      <c r="G8" s="3">
        <v>5.5856481481481479E-2</v>
      </c>
      <c r="H8">
        <v>1.3406</v>
      </c>
      <c r="I8" t="s">
        <v>59</v>
      </c>
      <c r="J8" t="s">
        <v>51</v>
      </c>
    </row>
    <row r="9" spans="1:10" x14ac:dyDescent="0.25">
      <c r="A9">
        <v>4</v>
      </c>
      <c r="B9">
        <v>8</v>
      </c>
      <c r="C9" s="3">
        <v>0.77796296296296297</v>
      </c>
      <c r="D9" s="3">
        <v>0.81263888888888891</v>
      </c>
      <c r="E9" s="4">
        <v>45841</v>
      </c>
      <c r="F9" t="s">
        <v>40</v>
      </c>
      <c r="G9" s="3">
        <v>0.15199074074074073</v>
      </c>
      <c r="H9">
        <v>3.6480000000000001</v>
      </c>
      <c r="I9" t="s">
        <v>51</v>
      </c>
      <c r="J9" t="s">
        <v>51</v>
      </c>
    </row>
    <row r="10" spans="1:10" x14ac:dyDescent="0.25">
      <c r="A10">
        <v>4</v>
      </c>
      <c r="B10">
        <v>9</v>
      </c>
      <c r="C10" s="3">
        <v>0.50875000000000004</v>
      </c>
      <c r="D10" s="3">
        <v>0.5483217592592593</v>
      </c>
      <c r="E10" s="4">
        <v>45845</v>
      </c>
      <c r="F10" t="s">
        <v>40</v>
      </c>
      <c r="G10" s="3">
        <v>0.11241898148148148</v>
      </c>
      <c r="H10">
        <v>2.6980599999999999</v>
      </c>
      <c r="I10" t="s">
        <v>61</v>
      </c>
      <c r="J10" t="s">
        <v>51</v>
      </c>
    </row>
    <row r="11" spans="1:10" x14ac:dyDescent="0.25">
      <c r="A11">
        <v>3</v>
      </c>
      <c r="B11">
        <v>10</v>
      </c>
      <c r="C11" s="3">
        <v>0.52506944444444448</v>
      </c>
      <c r="D11" s="3">
        <v>0.54131944444444446</v>
      </c>
      <c r="E11" s="4">
        <v>45855</v>
      </c>
      <c r="F11" t="s">
        <v>39</v>
      </c>
      <c r="G11" s="3">
        <v>0.12583333333333332</v>
      </c>
      <c r="H11">
        <v>3.02</v>
      </c>
      <c r="I11" t="s">
        <v>58</v>
      </c>
      <c r="J11" t="s">
        <v>51</v>
      </c>
    </row>
    <row r="12" spans="1:10" x14ac:dyDescent="0.25">
      <c r="A12">
        <v>3</v>
      </c>
      <c r="B12">
        <v>11</v>
      </c>
      <c r="C12" s="3">
        <v>0.83987268518518521</v>
      </c>
      <c r="D12" s="3">
        <v>0.87304398148148143</v>
      </c>
      <c r="E12" s="4">
        <v>45859</v>
      </c>
      <c r="F12" t="s">
        <v>39</v>
      </c>
      <c r="G12" s="3">
        <v>9.2662037037037043E-2</v>
      </c>
      <c r="H12">
        <v>2.2240000000000002</v>
      </c>
      <c r="I12" t="s">
        <v>63</v>
      </c>
      <c r="J12" t="s">
        <v>51</v>
      </c>
    </row>
    <row r="13" spans="1:10" x14ac:dyDescent="0.25">
      <c r="A13">
        <v>1</v>
      </c>
      <c r="B13">
        <v>12</v>
      </c>
      <c r="C13" s="3">
        <v>0.4869560185185185</v>
      </c>
      <c r="D13" s="3">
        <v>0.52262731481481484</v>
      </c>
      <c r="E13" s="4">
        <v>45860</v>
      </c>
      <c r="F13" t="s">
        <v>31</v>
      </c>
      <c r="G13" s="3">
        <v>4.2824074074074077E-2</v>
      </c>
      <c r="H13">
        <v>1.028</v>
      </c>
      <c r="I13" t="s">
        <v>57</v>
      </c>
      <c r="J13" t="s">
        <v>51</v>
      </c>
    </row>
    <row r="14" spans="1:10" x14ac:dyDescent="0.25">
      <c r="A14">
        <v>5</v>
      </c>
      <c r="B14">
        <v>13</v>
      </c>
      <c r="C14" s="3">
        <v>0.82975694444444448</v>
      </c>
      <c r="D14" s="3">
        <v>0.88561342592592596</v>
      </c>
      <c r="E14" s="4">
        <v>45860</v>
      </c>
      <c r="F14" t="s">
        <v>50</v>
      </c>
      <c r="G14" s="3">
        <v>0</v>
      </c>
      <c r="H14">
        <v>0</v>
      </c>
      <c r="I14" t="s">
        <v>60</v>
      </c>
      <c r="J14" t="s">
        <v>51</v>
      </c>
    </row>
    <row r="15" spans="1:10" x14ac:dyDescent="0.25">
      <c r="A15">
        <v>2</v>
      </c>
      <c r="B15">
        <v>14</v>
      </c>
      <c r="C15" s="3">
        <v>0.48561342592592593</v>
      </c>
      <c r="D15" s="3">
        <v>0.52121527777777776</v>
      </c>
      <c r="E15" s="4">
        <v>45861</v>
      </c>
      <c r="F15" t="s">
        <v>38</v>
      </c>
      <c r="G15" s="3">
        <v>0.12026620370370371</v>
      </c>
      <c r="H15">
        <v>2.8864000000000001</v>
      </c>
      <c r="I15" t="s">
        <v>55</v>
      </c>
      <c r="J15" t="s">
        <v>51</v>
      </c>
    </row>
    <row r="16" spans="1:10" x14ac:dyDescent="0.25">
      <c r="A16">
        <v>2</v>
      </c>
      <c r="B16">
        <v>15</v>
      </c>
      <c r="C16" s="3">
        <v>0.45508101851851851</v>
      </c>
      <c r="D16" s="3">
        <v>0.50746527777777772</v>
      </c>
      <c r="E16" s="4">
        <v>45862</v>
      </c>
      <c r="F16" t="s">
        <v>38</v>
      </c>
      <c r="G16" s="3">
        <v>6.7881944444444439E-2</v>
      </c>
      <c r="H16">
        <v>1.6292</v>
      </c>
      <c r="I16" t="s">
        <v>66</v>
      </c>
      <c r="J16" t="s">
        <v>51</v>
      </c>
    </row>
    <row r="17" spans="1:10" x14ac:dyDescent="0.25">
      <c r="A17">
        <v>4</v>
      </c>
      <c r="B17">
        <v>16</v>
      </c>
      <c r="C17" s="3">
        <v>0.47497685185185184</v>
      </c>
      <c r="D17" s="3">
        <v>0.50038194444444439</v>
      </c>
      <c r="E17" s="4">
        <v>45863</v>
      </c>
      <c r="F17" t="s">
        <v>40</v>
      </c>
      <c r="G17" s="3">
        <v>8.7013888888888891E-2</v>
      </c>
      <c r="H17">
        <v>2.0884</v>
      </c>
      <c r="I17" t="s">
        <v>62</v>
      </c>
      <c r="J17" t="s">
        <v>51</v>
      </c>
    </row>
    <row r="18" spans="1:10" x14ac:dyDescent="0.25">
      <c r="A18">
        <v>1</v>
      </c>
      <c r="B18">
        <v>17</v>
      </c>
      <c r="C18" s="3">
        <v>0.81579861111111107</v>
      </c>
      <c r="D18" s="3">
        <v>0.85862268518518514</v>
      </c>
      <c r="E18" s="4">
        <v>45867</v>
      </c>
      <c r="F18" t="s">
        <v>31</v>
      </c>
      <c r="G18" s="3">
        <v>0</v>
      </c>
      <c r="H18">
        <v>0</v>
      </c>
      <c r="I18" t="s">
        <v>65</v>
      </c>
      <c r="J18" t="s">
        <v>51</v>
      </c>
    </row>
    <row r="19" spans="1:10" x14ac:dyDescent="0.25">
      <c r="A19">
        <v>3</v>
      </c>
      <c r="B19">
        <v>18</v>
      </c>
      <c r="C19" s="3">
        <v>0.76672453703703702</v>
      </c>
      <c r="D19" s="3">
        <v>0.81969907407407405</v>
      </c>
      <c r="E19" s="4">
        <v>45872</v>
      </c>
      <c r="F19" t="s">
        <v>39</v>
      </c>
      <c r="G19" s="3">
        <v>3.9687500000000001E-2</v>
      </c>
      <c r="H19">
        <v>0.95250000000000001</v>
      </c>
      <c r="I19" t="s">
        <v>64</v>
      </c>
      <c r="J19" t="s">
        <v>51</v>
      </c>
    </row>
    <row r="20" spans="1:10" x14ac:dyDescent="0.25">
      <c r="A20">
        <v>4</v>
      </c>
      <c r="B20">
        <v>19</v>
      </c>
      <c r="C20" s="3">
        <v>0.62475694444444441</v>
      </c>
      <c r="D20" s="3">
        <v>0.66825231481481484</v>
      </c>
      <c r="E20" s="4">
        <v>45873</v>
      </c>
      <c r="F20" t="s">
        <v>40</v>
      </c>
      <c r="G20" s="3">
        <v>4.3518518518518519E-2</v>
      </c>
      <c r="H20">
        <v>1.0445</v>
      </c>
      <c r="I20" t="s">
        <v>68</v>
      </c>
      <c r="J20" t="s">
        <v>51</v>
      </c>
    </row>
    <row r="21" spans="1:10" x14ac:dyDescent="0.25">
      <c r="A21">
        <v>2</v>
      </c>
      <c r="B21">
        <v>20</v>
      </c>
      <c r="C21" s="3">
        <v>0.50400462962962966</v>
      </c>
      <c r="D21" s="3">
        <v>0.55009259259259258</v>
      </c>
      <c r="E21" s="4">
        <v>45874</v>
      </c>
      <c r="F21" t="s">
        <v>38</v>
      </c>
      <c r="G21" s="3">
        <v>2.179398148148148E-2</v>
      </c>
      <c r="H21">
        <v>0.52305999999999997</v>
      </c>
      <c r="I21" t="s">
        <v>67</v>
      </c>
      <c r="J21" t="s">
        <v>51</v>
      </c>
    </row>
    <row r="22" spans="1:10" x14ac:dyDescent="0.25">
      <c r="A22">
        <v>6</v>
      </c>
      <c r="B22">
        <v>21</v>
      </c>
      <c r="C22" s="3">
        <v>0.56119212962962961</v>
      </c>
      <c r="D22" s="3">
        <v>0.59861111111111109</v>
      </c>
      <c r="E22" s="4">
        <v>45874</v>
      </c>
      <c r="F22" t="s">
        <v>41</v>
      </c>
      <c r="G22" s="3">
        <v>0.1680787037037037</v>
      </c>
      <c r="H22">
        <v>4.0339</v>
      </c>
      <c r="I22" t="s">
        <v>56</v>
      </c>
      <c r="J22" t="s">
        <v>51</v>
      </c>
    </row>
    <row r="23" spans="1:10" x14ac:dyDescent="0.25">
      <c r="A23">
        <v>4</v>
      </c>
      <c r="B23">
        <v>22</v>
      </c>
      <c r="C23" s="3">
        <v>0.51409722222222221</v>
      </c>
      <c r="D23" s="3">
        <v>0.55761574074074072</v>
      </c>
      <c r="E23" s="4">
        <v>45875</v>
      </c>
      <c r="F23" t="s">
        <v>40</v>
      </c>
      <c r="G23" s="3">
        <v>0</v>
      </c>
      <c r="H23">
        <v>0</v>
      </c>
      <c r="I23" t="s">
        <v>70</v>
      </c>
      <c r="J23" t="s">
        <v>51</v>
      </c>
    </row>
    <row r="24" spans="1:10" x14ac:dyDescent="0.25">
      <c r="A24">
        <v>3</v>
      </c>
      <c r="B24">
        <v>23</v>
      </c>
      <c r="C24" s="3">
        <v>0.59530092592592587</v>
      </c>
      <c r="D24" s="3">
        <v>0.63498842592592597</v>
      </c>
      <c r="E24" s="4">
        <v>45875</v>
      </c>
      <c r="F24" t="s">
        <v>39</v>
      </c>
      <c r="G24" s="3">
        <v>0</v>
      </c>
      <c r="H24">
        <v>0</v>
      </c>
      <c r="I24" t="s">
        <v>69</v>
      </c>
      <c r="J24" t="s">
        <v>51</v>
      </c>
    </row>
    <row r="25" spans="1:10" x14ac:dyDescent="0.25">
      <c r="A25">
        <v>2</v>
      </c>
      <c r="B25">
        <v>24</v>
      </c>
      <c r="C25" s="3">
        <v>0.52170138888888884</v>
      </c>
      <c r="D25" s="3">
        <v>0.54349537037037032</v>
      </c>
      <c r="E25" s="4">
        <v>45876</v>
      </c>
      <c r="F25" t="s">
        <v>38</v>
      </c>
      <c r="G25" s="3">
        <v>0</v>
      </c>
      <c r="H25">
        <v>0</v>
      </c>
      <c r="I25" t="s">
        <v>71</v>
      </c>
      <c r="J25" t="s">
        <v>51</v>
      </c>
    </row>
    <row r="26" spans="1:10" x14ac:dyDescent="0.25">
      <c r="A26">
        <v>6</v>
      </c>
      <c r="B26">
        <v>25</v>
      </c>
      <c r="C26" s="3">
        <v>0.56692129629629628</v>
      </c>
      <c r="D26" s="3">
        <v>0.61121527777777773</v>
      </c>
      <c r="E26" s="4">
        <v>45876</v>
      </c>
      <c r="F26" t="s">
        <v>41</v>
      </c>
      <c r="G26" s="3">
        <v>0.12378472222222223</v>
      </c>
      <c r="H26">
        <v>2.9708999999999999</v>
      </c>
      <c r="I26" t="s">
        <v>72</v>
      </c>
      <c r="J26" t="s">
        <v>51</v>
      </c>
    </row>
    <row r="27" spans="1:10" x14ac:dyDescent="0.25">
      <c r="A27">
        <v>6</v>
      </c>
      <c r="B27">
        <v>26</v>
      </c>
      <c r="C27" s="3">
        <v>0.52785879629629628</v>
      </c>
      <c r="D27" s="3">
        <v>0.56166666666666665</v>
      </c>
      <c r="E27" s="4">
        <v>45877</v>
      </c>
      <c r="F27" t="s">
        <v>41</v>
      </c>
      <c r="G27" s="3">
        <v>8.997685185185185E-2</v>
      </c>
      <c r="H27">
        <v>2.1595</v>
      </c>
      <c r="I27" t="s">
        <v>73</v>
      </c>
      <c r="J27" t="s">
        <v>51</v>
      </c>
    </row>
    <row r="28" spans="1:10" x14ac:dyDescent="0.25">
      <c r="A28">
        <v>6</v>
      </c>
      <c r="B28">
        <v>27</v>
      </c>
      <c r="C28" s="3">
        <v>0.59740740740740739</v>
      </c>
      <c r="D28" s="3">
        <v>0.68738425925925928</v>
      </c>
      <c r="E28" s="4">
        <v>45878</v>
      </c>
      <c r="F28" t="s">
        <v>41</v>
      </c>
      <c r="G28" s="3">
        <v>0</v>
      </c>
      <c r="H28">
        <v>0</v>
      </c>
      <c r="I28" t="s">
        <v>74</v>
      </c>
      <c r="J28" t="s">
        <v>51</v>
      </c>
    </row>
    <row r="29" spans="1:10" x14ac:dyDescent="0.25">
      <c r="A29">
        <v>9</v>
      </c>
      <c r="B29">
        <v>28</v>
      </c>
      <c r="C29" s="3">
        <v>0.51150462962962961</v>
      </c>
      <c r="D29" s="3">
        <v>0.55469907407407404</v>
      </c>
      <c r="E29" s="4">
        <v>45882</v>
      </c>
      <c r="F29" t="s">
        <v>9</v>
      </c>
      <c r="G29" s="3">
        <v>9.8842592592592593E-3</v>
      </c>
      <c r="H29">
        <v>0.23730000000000001</v>
      </c>
      <c r="I29" t="s">
        <v>51</v>
      </c>
      <c r="J29" t="s">
        <v>51</v>
      </c>
    </row>
    <row r="30" spans="1:10" x14ac:dyDescent="0.25">
      <c r="A30">
        <v>7</v>
      </c>
      <c r="B30">
        <v>29</v>
      </c>
      <c r="C30" s="3">
        <v>0.53312499999999996</v>
      </c>
      <c r="D30" s="3">
        <v>0.60097222222222224</v>
      </c>
      <c r="E30" s="4">
        <v>45883</v>
      </c>
      <c r="F30" t="s">
        <v>7</v>
      </c>
      <c r="G30" s="3">
        <v>0</v>
      </c>
      <c r="H30">
        <v>0</v>
      </c>
      <c r="I30" t="s">
        <v>51</v>
      </c>
      <c r="J30" t="s">
        <v>51</v>
      </c>
    </row>
    <row r="31" spans="1:10" x14ac:dyDescent="0.25">
      <c r="A31">
        <v>9</v>
      </c>
      <c r="B31">
        <v>30</v>
      </c>
      <c r="C31" s="3">
        <v>0.54056712962962961</v>
      </c>
      <c r="D31" s="3">
        <v>0.614375</v>
      </c>
      <c r="E31" s="4">
        <v>45884</v>
      </c>
      <c r="F31" t="s">
        <v>9</v>
      </c>
      <c r="G31" s="3">
        <v>0</v>
      </c>
      <c r="H31">
        <v>0</v>
      </c>
      <c r="I31" t="s">
        <v>76</v>
      </c>
      <c r="J31" t="s">
        <v>51</v>
      </c>
    </row>
    <row r="32" spans="1:10" x14ac:dyDescent="0.25">
      <c r="A32">
        <v>8</v>
      </c>
      <c r="B32">
        <v>31</v>
      </c>
      <c r="C32" s="3">
        <v>0.57190972222222225</v>
      </c>
      <c r="D32" s="3">
        <v>0.60717592592592595</v>
      </c>
      <c r="E32" s="4">
        <v>45887</v>
      </c>
      <c r="F32" t="s">
        <v>8</v>
      </c>
      <c r="G32" s="3">
        <v>3.4143518518518517E-2</v>
      </c>
      <c r="H32">
        <v>0.81950000000000001</v>
      </c>
      <c r="I32" t="s">
        <v>51</v>
      </c>
      <c r="J32" t="s">
        <v>51</v>
      </c>
    </row>
    <row r="33" spans="1:10" x14ac:dyDescent="0.25">
      <c r="A33">
        <v>8</v>
      </c>
      <c r="B33">
        <v>32</v>
      </c>
      <c r="C33" s="3">
        <v>0.49019675925925926</v>
      </c>
      <c r="D33" s="3">
        <v>0.53469907407407402</v>
      </c>
      <c r="E33" s="4">
        <v>45888</v>
      </c>
      <c r="F33" t="s">
        <v>8</v>
      </c>
      <c r="G33" s="3">
        <v>0</v>
      </c>
      <c r="H33">
        <v>0</v>
      </c>
      <c r="I33" t="s">
        <v>77</v>
      </c>
      <c r="J33" t="s">
        <v>51</v>
      </c>
    </row>
    <row r="34" spans="1:10" x14ac:dyDescent="0.25">
      <c r="A34">
        <v>10</v>
      </c>
      <c r="B34">
        <v>33</v>
      </c>
      <c r="C34" s="3">
        <v>0.63305555555555559</v>
      </c>
      <c r="D34" s="3">
        <v>0.67504629629629631</v>
      </c>
      <c r="E34" s="4">
        <v>45888</v>
      </c>
      <c r="F34" t="s">
        <v>10</v>
      </c>
      <c r="G34" s="3">
        <v>0</v>
      </c>
      <c r="H34">
        <v>0</v>
      </c>
      <c r="I34" t="s">
        <v>51</v>
      </c>
      <c r="J34" t="s">
        <v>51</v>
      </c>
    </row>
    <row r="35" spans="1:10" x14ac:dyDescent="0.25">
      <c r="A35">
        <v>11</v>
      </c>
      <c r="B35">
        <v>34</v>
      </c>
      <c r="C35" s="3">
        <v>0.34839120370370369</v>
      </c>
      <c r="D35" s="3">
        <v>0.38611111111111113</v>
      </c>
      <c r="E35" s="4">
        <v>45889</v>
      </c>
      <c r="F35" t="s">
        <v>11</v>
      </c>
      <c r="G35" s="3">
        <v>0</v>
      </c>
      <c r="H35">
        <v>0</v>
      </c>
      <c r="I35" t="s">
        <v>51</v>
      </c>
      <c r="J35" t="s">
        <v>51</v>
      </c>
    </row>
    <row r="36" spans="1:10" x14ac:dyDescent="0.25">
      <c r="A36">
        <v>18</v>
      </c>
      <c r="B36">
        <v>35</v>
      </c>
      <c r="C36" s="3">
        <v>0.40480324074074076</v>
      </c>
      <c r="D36" s="3">
        <v>0.42247685185185185</v>
      </c>
      <c r="E36" s="4">
        <v>45889</v>
      </c>
      <c r="F36" t="s">
        <v>18</v>
      </c>
      <c r="G36" s="3">
        <v>0</v>
      </c>
      <c r="H36">
        <v>0</v>
      </c>
      <c r="I36" t="s">
        <v>51</v>
      </c>
      <c r="J36" t="s">
        <v>51</v>
      </c>
    </row>
    <row r="37" spans="1:10" x14ac:dyDescent="0.25">
      <c r="A37">
        <v>12</v>
      </c>
      <c r="B37">
        <v>36</v>
      </c>
      <c r="C37" s="3">
        <v>0.46976851851851853</v>
      </c>
      <c r="D37" s="3">
        <v>0.49932870370370369</v>
      </c>
      <c r="E37" s="4">
        <v>45890</v>
      </c>
      <c r="F37" t="s">
        <v>12</v>
      </c>
      <c r="G37" s="3">
        <v>0</v>
      </c>
      <c r="H37">
        <v>0</v>
      </c>
      <c r="I37" t="s">
        <v>51</v>
      </c>
      <c r="J37" t="s">
        <v>51</v>
      </c>
    </row>
    <row r="38" spans="1:10" x14ac:dyDescent="0.25">
      <c r="A38">
        <v>13</v>
      </c>
      <c r="B38">
        <v>37</v>
      </c>
      <c r="C38" s="3">
        <v>0.50318287037037035</v>
      </c>
      <c r="D38" s="3">
        <v>0.52796296296296297</v>
      </c>
      <c r="E38" s="4">
        <v>45890</v>
      </c>
      <c r="F38" t="s">
        <v>13</v>
      </c>
      <c r="G38" s="3">
        <v>0</v>
      </c>
      <c r="H38">
        <v>0</v>
      </c>
      <c r="I38" t="s">
        <v>51</v>
      </c>
      <c r="J38" t="s">
        <v>51</v>
      </c>
    </row>
    <row r="39" spans="1:10" x14ac:dyDescent="0.25">
      <c r="A39">
        <v>14</v>
      </c>
      <c r="B39">
        <v>38</v>
      </c>
      <c r="C39" s="3">
        <v>0.51740740740740743</v>
      </c>
      <c r="D39" s="3">
        <v>0.54263888888888889</v>
      </c>
      <c r="E39" s="4">
        <v>45891</v>
      </c>
      <c r="F39" t="s">
        <v>14</v>
      </c>
      <c r="G39" s="3">
        <v>0</v>
      </c>
      <c r="H39">
        <v>0</v>
      </c>
      <c r="I39" t="s">
        <v>51</v>
      </c>
      <c r="J39" t="s">
        <v>51</v>
      </c>
    </row>
    <row r="40" spans="1:10" x14ac:dyDescent="0.25">
      <c r="A40">
        <v>16</v>
      </c>
      <c r="B40">
        <v>39</v>
      </c>
      <c r="C40" s="3">
        <v>0.40100694444444446</v>
      </c>
      <c r="D40" s="3">
        <v>0.4221064814814815</v>
      </c>
      <c r="E40" s="4">
        <v>45892</v>
      </c>
      <c r="F40" t="s">
        <v>16</v>
      </c>
      <c r="G40" s="3">
        <v>0</v>
      </c>
      <c r="H40">
        <v>0</v>
      </c>
      <c r="I40" t="s">
        <v>51</v>
      </c>
      <c r="J40" t="s">
        <v>51</v>
      </c>
    </row>
    <row r="41" spans="1:10" x14ac:dyDescent="0.25">
      <c r="A41">
        <v>17</v>
      </c>
      <c r="B41">
        <v>40</v>
      </c>
      <c r="C41" s="3">
        <v>0.42346064814814816</v>
      </c>
      <c r="D41" s="3">
        <v>0.44387731481481479</v>
      </c>
      <c r="E41" s="4">
        <v>45892</v>
      </c>
      <c r="F41" t="s">
        <v>17</v>
      </c>
      <c r="G41" s="3">
        <v>0</v>
      </c>
      <c r="H41">
        <v>0</v>
      </c>
      <c r="I41" t="s">
        <v>51</v>
      </c>
      <c r="J41" t="s">
        <v>51</v>
      </c>
    </row>
    <row r="42" spans="1:10" x14ac:dyDescent="0.25">
      <c r="A42">
        <v>15</v>
      </c>
      <c r="B42">
        <v>41</v>
      </c>
      <c r="C42" s="3">
        <v>0.85283564814814816</v>
      </c>
      <c r="D42" s="3">
        <v>0.87870370370370365</v>
      </c>
      <c r="E42" s="4">
        <v>45892</v>
      </c>
      <c r="F42" t="s">
        <v>15</v>
      </c>
      <c r="G42" s="3">
        <v>0</v>
      </c>
      <c r="H42">
        <v>0</v>
      </c>
      <c r="I42" t="s">
        <v>51</v>
      </c>
      <c r="J42" t="s">
        <v>51</v>
      </c>
    </row>
    <row r="43" spans="1:10" x14ac:dyDescent="0.25">
      <c r="A43">
        <v>19</v>
      </c>
      <c r="B43">
        <v>42</v>
      </c>
      <c r="C43" s="3">
        <v>0.59028935185185183</v>
      </c>
      <c r="D43" s="3">
        <v>0.60097222222222224</v>
      </c>
      <c r="E43" s="4">
        <v>45883</v>
      </c>
      <c r="F43" t="s">
        <v>7</v>
      </c>
      <c r="G43" s="3">
        <v>4.760416666666667E-2</v>
      </c>
      <c r="H43">
        <v>1.1425000000000001</v>
      </c>
      <c r="I43" t="s">
        <v>51</v>
      </c>
      <c r="J43" t="s">
        <v>78</v>
      </c>
    </row>
    <row r="44" spans="1:10" x14ac:dyDescent="0.25">
      <c r="A44">
        <v>21</v>
      </c>
      <c r="B44">
        <v>43</v>
      </c>
      <c r="C44" s="3">
        <v>0.55045138888888889</v>
      </c>
      <c r="D44" s="3">
        <v>0.614375</v>
      </c>
      <c r="E44" s="4">
        <v>45884</v>
      </c>
      <c r="F44" t="s">
        <v>9</v>
      </c>
      <c r="G44" s="3">
        <v>0</v>
      </c>
      <c r="H44">
        <v>0</v>
      </c>
      <c r="I44" t="s">
        <v>51</v>
      </c>
      <c r="J44" t="s">
        <v>79</v>
      </c>
    </row>
    <row r="45" spans="1:10" x14ac:dyDescent="0.25">
      <c r="A45">
        <v>20</v>
      </c>
      <c r="B45">
        <v>44</v>
      </c>
      <c r="C45" s="3">
        <v>0.52434027777777781</v>
      </c>
      <c r="D45" s="3">
        <v>0.53469907407407402</v>
      </c>
      <c r="E45" s="4">
        <v>45888</v>
      </c>
      <c r="F45" t="s">
        <v>8</v>
      </c>
      <c r="G45" s="3">
        <v>6.0416666666666667E-2</v>
      </c>
      <c r="H45">
        <v>1.45</v>
      </c>
      <c r="I45" t="s">
        <v>51</v>
      </c>
      <c r="J45" t="s">
        <v>80</v>
      </c>
    </row>
    <row r="46" spans="1:10" x14ac:dyDescent="0.25">
      <c r="A46">
        <v>22</v>
      </c>
      <c r="B46">
        <v>45</v>
      </c>
      <c r="C46" s="3">
        <v>0.67388888888888887</v>
      </c>
      <c r="D46" s="3">
        <v>0.67504629629629631</v>
      </c>
      <c r="E46" s="4">
        <v>45888</v>
      </c>
      <c r="F46" t="s">
        <v>10</v>
      </c>
      <c r="G46" s="3">
        <v>4.0474537037037038E-2</v>
      </c>
      <c r="H46">
        <v>0.97140000000000004</v>
      </c>
      <c r="I46" t="s">
        <v>51</v>
      </c>
      <c r="J46" t="s">
        <v>81</v>
      </c>
    </row>
    <row r="47" spans="1:10" x14ac:dyDescent="0.25">
      <c r="A47">
        <v>23</v>
      </c>
      <c r="B47">
        <v>46</v>
      </c>
      <c r="C47" s="3">
        <v>0.38105324074074076</v>
      </c>
      <c r="D47" s="3">
        <v>0.38611111111111113</v>
      </c>
      <c r="E47" s="4">
        <v>45889</v>
      </c>
      <c r="F47" t="s">
        <v>11</v>
      </c>
      <c r="G47" s="3">
        <v>2.824074074074074E-2</v>
      </c>
      <c r="H47">
        <v>0.67800000000000005</v>
      </c>
      <c r="I47" t="s">
        <v>51</v>
      </c>
      <c r="J47" t="s">
        <v>82</v>
      </c>
    </row>
    <row r="48" spans="1:10" x14ac:dyDescent="0.25">
      <c r="A48">
        <v>30</v>
      </c>
      <c r="B48">
        <v>47</v>
      </c>
      <c r="C48" s="3">
        <v>0.42113425925925924</v>
      </c>
      <c r="D48" s="3">
        <v>0.42247685185185185</v>
      </c>
      <c r="E48" s="4">
        <v>45889</v>
      </c>
      <c r="F48" t="s">
        <v>18</v>
      </c>
      <c r="G48" s="3">
        <v>1.5300925925925926E-2</v>
      </c>
      <c r="H48">
        <v>0.36730000000000002</v>
      </c>
      <c r="I48" t="s">
        <v>51</v>
      </c>
      <c r="J48" t="s">
        <v>83</v>
      </c>
    </row>
    <row r="49" spans="1:10" x14ac:dyDescent="0.25">
      <c r="A49">
        <v>24</v>
      </c>
      <c r="B49">
        <v>48</v>
      </c>
      <c r="C49" s="3">
        <v>0.49834490740740739</v>
      </c>
      <c r="D49" s="3">
        <v>0.49932870370370369</v>
      </c>
      <c r="E49" s="4">
        <v>45890</v>
      </c>
      <c r="F49" t="s">
        <v>12</v>
      </c>
      <c r="G49" s="3">
        <v>2.8159722222222221E-2</v>
      </c>
      <c r="H49">
        <v>0.67600000000000005</v>
      </c>
      <c r="I49" t="s">
        <v>51</v>
      </c>
      <c r="J49" t="s">
        <v>84</v>
      </c>
    </row>
    <row r="50" spans="1:10" x14ac:dyDescent="0.25">
      <c r="A50">
        <v>25</v>
      </c>
      <c r="B50">
        <v>49</v>
      </c>
      <c r="C50" s="3">
        <v>0.52767361111111111</v>
      </c>
      <c r="D50" s="3">
        <v>0.52796296296296297</v>
      </c>
      <c r="E50" s="4">
        <v>45890</v>
      </c>
      <c r="F50" t="s">
        <v>13</v>
      </c>
      <c r="G50" s="3">
        <v>2.4687500000000001E-2</v>
      </c>
      <c r="H50">
        <v>0.59250000000000003</v>
      </c>
      <c r="I50" t="s">
        <v>51</v>
      </c>
      <c r="J50" t="s">
        <v>85</v>
      </c>
    </row>
    <row r="51" spans="1:10" x14ac:dyDescent="0.25">
      <c r="A51">
        <v>26</v>
      </c>
      <c r="B51">
        <v>50</v>
      </c>
      <c r="C51" s="3">
        <v>0.54189814814814818</v>
      </c>
      <c r="D51" s="3">
        <v>0.54263888888888889</v>
      </c>
      <c r="E51" s="4">
        <v>45891</v>
      </c>
      <c r="F51" t="s">
        <v>14</v>
      </c>
      <c r="G51" s="3">
        <v>2.4236111111111111E-2</v>
      </c>
      <c r="H51">
        <v>0.58169999999999999</v>
      </c>
      <c r="I51" t="s">
        <v>51</v>
      </c>
      <c r="J51" t="s">
        <v>86</v>
      </c>
    </row>
    <row r="52" spans="1:10" x14ac:dyDescent="0.25">
      <c r="A52">
        <v>28</v>
      </c>
      <c r="B52">
        <v>51</v>
      </c>
      <c r="C52" s="3">
        <v>0.4214236111111111</v>
      </c>
      <c r="D52" s="3">
        <v>0.4221064814814815</v>
      </c>
      <c r="E52" s="4">
        <v>45892</v>
      </c>
      <c r="F52" t="s">
        <v>16</v>
      </c>
      <c r="G52" s="3">
        <v>2.0127314814814813E-2</v>
      </c>
      <c r="H52">
        <v>0.48309999999999997</v>
      </c>
      <c r="I52" t="s">
        <v>51</v>
      </c>
      <c r="J52" t="s">
        <v>87</v>
      </c>
    </row>
    <row r="53" spans="1:10" x14ac:dyDescent="0.25">
      <c r="A53">
        <v>27</v>
      </c>
      <c r="B53">
        <v>52</v>
      </c>
      <c r="C53" s="3">
        <v>0.8732523148148148</v>
      </c>
      <c r="D53" s="3">
        <v>0.87870370370370365</v>
      </c>
      <c r="E53" s="4">
        <v>45892</v>
      </c>
      <c r="F53" t="s">
        <v>15</v>
      </c>
      <c r="G53" s="3">
        <v>1.5358796296296296E-2</v>
      </c>
      <c r="H53">
        <v>0.36870000000000003</v>
      </c>
      <c r="I53" t="s">
        <v>51</v>
      </c>
      <c r="J53" t="s">
        <v>88</v>
      </c>
    </row>
    <row r="54" spans="1:10" x14ac:dyDescent="0.25">
      <c r="A54">
        <v>19</v>
      </c>
      <c r="B54">
        <v>53</v>
      </c>
      <c r="C54" s="3">
        <v>0.51231481481481478</v>
      </c>
      <c r="D54" s="3">
        <v>0.57019675925925928</v>
      </c>
      <c r="E54" s="4">
        <v>45897</v>
      </c>
      <c r="F54" t="s">
        <v>7</v>
      </c>
      <c r="G54" s="3">
        <v>0</v>
      </c>
      <c r="H54">
        <v>0</v>
      </c>
      <c r="I54" t="s">
        <v>89</v>
      </c>
      <c r="J54" t="s">
        <v>51</v>
      </c>
    </row>
    <row r="55" spans="1:10" x14ac:dyDescent="0.25">
      <c r="A55">
        <v>20</v>
      </c>
      <c r="B55">
        <v>54</v>
      </c>
      <c r="C55" s="3">
        <v>0.51635416666666667</v>
      </c>
      <c r="D55" s="3">
        <v>0.55262731481481486</v>
      </c>
      <c r="E55" s="4">
        <v>45898</v>
      </c>
      <c r="F55" t="s">
        <v>8</v>
      </c>
      <c r="G55" s="3">
        <v>2.4131944444444445E-2</v>
      </c>
      <c r="H55">
        <v>0.57920000000000005</v>
      </c>
      <c r="I55" t="s">
        <v>90</v>
      </c>
      <c r="J55" t="s">
        <v>51</v>
      </c>
    </row>
    <row r="56" spans="1:10" x14ac:dyDescent="0.25">
      <c r="A56">
        <v>22</v>
      </c>
      <c r="B56">
        <v>55</v>
      </c>
      <c r="C56" s="3">
        <v>0.8308564814814815</v>
      </c>
      <c r="D56" s="3">
        <v>0.86003472222222221</v>
      </c>
      <c r="E56" s="4">
        <v>45900</v>
      </c>
      <c r="F56" t="s">
        <v>10</v>
      </c>
      <c r="G56" s="3">
        <v>1.1284722222222222E-2</v>
      </c>
      <c r="H56">
        <v>0.27100000000000002</v>
      </c>
      <c r="I56" t="s">
        <v>91</v>
      </c>
      <c r="J56" t="s">
        <v>51</v>
      </c>
    </row>
    <row r="57" spans="1:10" x14ac:dyDescent="0.25">
      <c r="A57">
        <v>20</v>
      </c>
      <c r="B57">
        <v>56</v>
      </c>
      <c r="C57" s="3">
        <v>0.3206134259259259</v>
      </c>
      <c r="D57" s="3">
        <v>0.34824074074074074</v>
      </c>
      <c r="E57" s="4">
        <v>45904</v>
      </c>
      <c r="F57" t="s">
        <v>8</v>
      </c>
      <c r="G57" s="3">
        <v>0</v>
      </c>
      <c r="H57">
        <v>0</v>
      </c>
      <c r="I57" t="s">
        <v>92</v>
      </c>
      <c r="J57" t="s">
        <v>51</v>
      </c>
    </row>
    <row r="58" spans="1:10" x14ac:dyDescent="0.25">
      <c r="A58">
        <v>23</v>
      </c>
      <c r="B58">
        <v>57</v>
      </c>
      <c r="C58" s="3">
        <v>0.39293981481481483</v>
      </c>
      <c r="D58" s="3">
        <v>0.42118055555555556</v>
      </c>
      <c r="E58" s="4">
        <v>45904</v>
      </c>
      <c r="F58" t="s">
        <v>11</v>
      </c>
      <c r="G58" s="3">
        <v>0</v>
      </c>
      <c r="H58">
        <v>0</v>
      </c>
      <c r="I58" t="s">
        <v>93</v>
      </c>
      <c r="J58" t="s">
        <v>51</v>
      </c>
    </row>
    <row r="59" spans="1:10" x14ac:dyDescent="0.25">
      <c r="A59">
        <v>24</v>
      </c>
      <c r="B59">
        <v>58</v>
      </c>
      <c r="C59" s="3">
        <v>0.58164351851851848</v>
      </c>
      <c r="D59" s="3">
        <v>0.60980324074074077</v>
      </c>
      <c r="E59" s="4">
        <v>45912</v>
      </c>
      <c r="F59" t="s">
        <v>12</v>
      </c>
      <c r="G59" s="3">
        <v>0</v>
      </c>
      <c r="H59">
        <v>0</v>
      </c>
      <c r="I59" t="s">
        <v>94</v>
      </c>
      <c r="J59" t="s">
        <v>51</v>
      </c>
    </row>
    <row r="60" spans="1:10" x14ac:dyDescent="0.25">
      <c r="A60">
        <v>27</v>
      </c>
      <c r="B60">
        <v>59</v>
      </c>
      <c r="C60" s="3">
        <v>0.83851851851851855</v>
      </c>
      <c r="D60" s="3">
        <v>0.85387731481481477</v>
      </c>
      <c r="E60" s="4">
        <v>45926</v>
      </c>
      <c r="F60" t="s">
        <v>15</v>
      </c>
      <c r="G60" s="3">
        <v>0</v>
      </c>
      <c r="H60">
        <v>0</v>
      </c>
      <c r="I60" t="s">
        <v>95</v>
      </c>
      <c r="J60" t="s">
        <v>51</v>
      </c>
    </row>
    <row r="61" spans="1:10" x14ac:dyDescent="0.25">
      <c r="A61">
        <v>28</v>
      </c>
      <c r="B61">
        <v>60</v>
      </c>
      <c r="C61" s="3">
        <v>0.86944444444444446</v>
      </c>
      <c r="D61" s="3">
        <v>0.88957175925925924</v>
      </c>
      <c r="E61" s="4">
        <v>45926</v>
      </c>
      <c r="F61" t="s">
        <v>16</v>
      </c>
      <c r="G61" s="3">
        <v>0</v>
      </c>
      <c r="H61">
        <v>0</v>
      </c>
      <c r="I61" t="s">
        <v>96</v>
      </c>
      <c r="J61" t="s">
        <v>51</v>
      </c>
    </row>
    <row r="62" spans="1:10" x14ac:dyDescent="0.25">
      <c r="A62">
        <v>29</v>
      </c>
      <c r="B62">
        <v>61</v>
      </c>
      <c r="C62" s="3">
        <v>0.89513888888888893</v>
      </c>
      <c r="D62" s="3">
        <v>0.91594907407407411</v>
      </c>
      <c r="E62" s="4">
        <v>45926</v>
      </c>
      <c r="F62" t="s">
        <v>17</v>
      </c>
      <c r="G62" s="3">
        <v>0</v>
      </c>
      <c r="H62">
        <v>0</v>
      </c>
      <c r="I62" t="s">
        <v>51</v>
      </c>
      <c r="J62" t="s">
        <v>51</v>
      </c>
    </row>
    <row r="63" spans="1:10" x14ac:dyDescent="0.25">
      <c r="A63">
        <v>25</v>
      </c>
      <c r="B63">
        <v>62</v>
      </c>
      <c r="C63" s="3">
        <v>0.53472222222222221</v>
      </c>
      <c r="D63" s="3">
        <v>0.55940972222222218</v>
      </c>
      <c r="E63" s="4">
        <v>45949</v>
      </c>
      <c r="F63" t="s">
        <v>13</v>
      </c>
      <c r="G63" s="3">
        <v>0</v>
      </c>
      <c r="H63">
        <v>0</v>
      </c>
      <c r="I63" t="s">
        <v>97</v>
      </c>
      <c r="J63" t="s">
        <v>51</v>
      </c>
    </row>
    <row r="64" spans="1:10" x14ac:dyDescent="0.25">
      <c r="A64">
        <v>26</v>
      </c>
      <c r="B64">
        <v>63</v>
      </c>
      <c r="C64" s="3">
        <v>0.56863425925925926</v>
      </c>
      <c r="D64" s="3">
        <v>0.59287037037037038</v>
      </c>
      <c r="E64" s="4">
        <v>45949</v>
      </c>
      <c r="F64" t="s">
        <v>14</v>
      </c>
      <c r="G64" s="3">
        <v>0</v>
      </c>
      <c r="H64">
        <v>0</v>
      </c>
      <c r="I64" t="s">
        <v>98</v>
      </c>
      <c r="J64" t="s">
        <v>51</v>
      </c>
    </row>
    <row r="65" spans="1:10" x14ac:dyDescent="0.25">
      <c r="A65">
        <v>30</v>
      </c>
      <c r="B65">
        <v>64</v>
      </c>
      <c r="C65" s="3">
        <v>0.64793981481481477</v>
      </c>
      <c r="D65" s="3">
        <v>0.66324074074074069</v>
      </c>
      <c r="E65" s="4">
        <v>45949</v>
      </c>
      <c r="F65" t="s">
        <v>18</v>
      </c>
      <c r="G65" s="3">
        <v>0</v>
      </c>
      <c r="H65">
        <v>0</v>
      </c>
      <c r="I65" t="s">
        <v>99</v>
      </c>
      <c r="J65" t="s">
        <v>51</v>
      </c>
    </row>
    <row r="66" spans="1:10" x14ac:dyDescent="0.25">
      <c r="A66">
        <v>22</v>
      </c>
      <c r="B66">
        <v>65</v>
      </c>
      <c r="C66" s="3">
        <v>0.59513888888888888</v>
      </c>
      <c r="D66" s="3">
        <v>0.60642361111111109</v>
      </c>
      <c r="E66" s="4">
        <v>45949</v>
      </c>
      <c r="F66" t="s">
        <v>10</v>
      </c>
      <c r="G66" s="3">
        <v>0</v>
      </c>
      <c r="H66">
        <v>0</v>
      </c>
      <c r="I66" t="s">
        <v>100</v>
      </c>
      <c r="J66" t="s">
        <v>51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204E3-1E69-416B-9A9D-45B7501E8304}">
  <dimension ref="C2:I44"/>
  <sheetViews>
    <sheetView topLeftCell="A7" workbookViewId="0">
      <selection activeCell="I33" sqref="I33"/>
    </sheetView>
  </sheetViews>
  <sheetFormatPr defaultRowHeight="15" x14ac:dyDescent="0.25"/>
  <cols>
    <col min="1" max="1" width="14.28515625" bestFit="1" customWidth="1"/>
    <col min="2" max="2" width="13.7109375" bestFit="1" customWidth="1"/>
    <col min="3" max="4" width="8.140625" bestFit="1" customWidth="1"/>
    <col min="5" max="5" width="10.7109375" bestFit="1" customWidth="1"/>
    <col min="6" max="6" width="27.42578125" bestFit="1" customWidth="1"/>
    <col min="7" max="7" width="15.5703125" bestFit="1" customWidth="1"/>
    <col min="8" max="8" width="23.140625" customWidth="1"/>
    <col min="9" max="9" width="18.28515625" bestFit="1" customWidth="1"/>
    <col min="10" max="10" width="10.42578125" bestFit="1" customWidth="1"/>
    <col min="11" max="11" width="15.28515625" customWidth="1"/>
  </cols>
  <sheetData>
    <row r="2" spans="3:9" x14ac:dyDescent="0.25">
      <c r="C2" s="3"/>
      <c r="D2" s="3"/>
      <c r="E2" s="4"/>
      <c r="G2" s="3"/>
      <c r="I2" s="3"/>
    </row>
    <row r="3" spans="3:9" x14ac:dyDescent="0.25">
      <c r="C3" s="3"/>
      <c r="D3" s="3"/>
      <c r="E3" s="4"/>
      <c r="G3" s="3"/>
      <c r="I3" s="3"/>
    </row>
    <row r="4" spans="3:9" x14ac:dyDescent="0.25">
      <c r="C4" s="3"/>
      <c r="D4" s="3"/>
      <c r="E4" s="4"/>
      <c r="G4" s="3"/>
      <c r="I4" s="3"/>
    </row>
    <row r="5" spans="3:9" x14ac:dyDescent="0.25">
      <c r="C5" s="3"/>
      <c r="D5" s="3"/>
      <c r="E5" s="4"/>
      <c r="G5" s="3"/>
      <c r="I5" s="3"/>
    </row>
    <row r="6" spans="3:9" x14ac:dyDescent="0.25">
      <c r="C6" s="3"/>
      <c r="D6" s="3"/>
      <c r="E6" s="4"/>
      <c r="G6" s="3"/>
      <c r="I6" s="3"/>
    </row>
    <row r="7" spans="3:9" x14ac:dyDescent="0.25">
      <c r="C7" s="3"/>
      <c r="D7" s="3"/>
      <c r="E7" s="4"/>
      <c r="G7" s="3"/>
      <c r="I7" s="3"/>
    </row>
    <row r="8" spans="3:9" x14ac:dyDescent="0.25">
      <c r="C8" s="3"/>
      <c r="D8" s="3"/>
      <c r="E8" s="4"/>
      <c r="G8" s="3"/>
      <c r="I8" s="3"/>
    </row>
    <row r="9" spans="3:9" x14ac:dyDescent="0.25">
      <c r="C9" s="3"/>
      <c r="D9" s="3"/>
      <c r="E9" s="4"/>
      <c r="G9" s="3"/>
      <c r="I9" s="3"/>
    </row>
    <row r="10" spans="3:9" x14ac:dyDescent="0.25">
      <c r="C10" s="3"/>
      <c r="D10" s="3"/>
      <c r="E10" s="4"/>
      <c r="G10" s="3"/>
      <c r="I10" s="3"/>
    </row>
    <row r="11" spans="3:9" x14ac:dyDescent="0.25">
      <c r="C11" s="3"/>
      <c r="D11" s="3"/>
      <c r="E11" s="4"/>
      <c r="G11" s="3"/>
      <c r="I11" s="3"/>
    </row>
    <row r="12" spans="3:9" x14ac:dyDescent="0.25">
      <c r="C12" s="3"/>
      <c r="D12" s="3"/>
      <c r="E12" s="4"/>
      <c r="G12" s="3"/>
      <c r="I12" s="3"/>
    </row>
    <row r="13" spans="3:9" x14ac:dyDescent="0.25">
      <c r="C13" s="3"/>
      <c r="D13" s="3"/>
      <c r="E13" s="4"/>
      <c r="G13" s="3"/>
      <c r="I13" s="3"/>
    </row>
    <row r="14" spans="3:9" x14ac:dyDescent="0.25">
      <c r="C14" s="3"/>
      <c r="D14" s="3"/>
      <c r="E14" s="4"/>
      <c r="G14" s="3"/>
      <c r="I14" s="3"/>
    </row>
    <row r="15" spans="3:9" x14ac:dyDescent="0.25">
      <c r="C15" s="3"/>
      <c r="D15" s="3"/>
      <c r="E15" s="4"/>
      <c r="G15" s="3"/>
      <c r="I15" s="3"/>
    </row>
    <row r="16" spans="3:9" x14ac:dyDescent="0.25">
      <c r="C16" s="3"/>
      <c r="D16" s="3"/>
      <c r="E16" s="4"/>
      <c r="G16" s="3"/>
      <c r="I16" s="3"/>
    </row>
    <row r="17" spans="3:9" x14ac:dyDescent="0.25">
      <c r="C17" s="3"/>
      <c r="D17" s="3"/>
      <c r="E17" s="4"/>
      <c r="G17" s="3"/>
      <c r="I17" s="3"/>
    </row>
    <row r="18" spans="3:9" x14ac:dyDescent="0.25">
      <c r="C18" s="3"/>
      <c r="D18" s="3"/>
      <c r="E18" s="4"/>
      <c r="G18" s="3"/>
      <c r="I18" s="3"/>
    </row>
    <row r="19" spans="3:9" x14ac:dyDescent="0.25">
      <c r="C19" s="3"/>
      <c r="D19" s="3"/>
      <c r="E19" s="4"/>
      <c r="G19" s="3"/>
      <c r="I19" s="3"/>
    </row>
    <row r="20" spans="3:9" x14ac:dyDescent="0.25">
      <c r="C20" s="3"/>
      <c r="D20" s="3"/>
      <c r="E20" s="4"/>
      <c r="G20" s="3"/>
      <c r="I20" s="3"/>
    </row>
    <row r="21" spans="3:9" x14ac:dyDescent="0.25">
      <c r="C21" s="3"/>
      <c r="D21" s="3"/>
      <c r="E21" s="4"/>
      <c r="G21" s="3"/>
      <c r="I21" s="3"/>
    </row>
    <row r="22" spans="3:9" x14ac:dyDescent="0.25">
      <c r="C22" s="3"/>
      <c r="D22" s="3"/>
      <c r="E22" s="4"/>
      <c r="G22" s="3"/>
      <c r="I22" s="3"/>
    </row>
    <row r="23" spans="3:9" x14ac:dyDescent="0.25">
      <c r="C23" s="3"/>
      <c r="D23" s="3"/>
      <c r="E23" s="4"/>
      <c r="G23" s="3"/>
      <c r="I23" s="3"/>
    </row>
    <row r="24" spans="3:9" x14ac:dyDescent="0.25">
      <c r="C24" s="3"/>
      <c r="D24" s="3"/>
      <c r="E24" s="4"/>
      <c r="G24" s="3"/>
      <c r="I24" s="3"/>
    </row>
    <row r="25" spans="3:9" x14ac:dyDescent="0.25">
      <c r="C25" s="3"/>
      <c r="D25" s="3"/>
      <c r="E25" s="4"/>
      <c r="G25" s="3"/>
      <c r="I25" s="3"/>
    </row>
    <row r="26" spans="3:9" x14ac:dyDescent="0.25">
      <c r="C26" s="3"/>
      <c r="D26" s="3"/>
      <c r="E26" s="4"/>
      <c r="G26" s="3"/>
      <c r="I26" s="3"/>
    </row>
    <row r="27" spans="3:9" x14ac:dyDescent="0.25">
      <c r="C27" s="3"/>
      <c r="D27" s="3"/>
      <c r="E27" s="4"/>
      <c r="G27" s="3"/>
      <c r="I27" s="3"/>
    </row>
    <row r="28" spans="3:9" x14ac:dyDescent="0.25">
      <c r="C28" s="3"/>
      <c r="D28" s="3"/>
      <c r="E28" s="4"/>
      <c r="G28" s="3"/>
      <c r="I28" s="3"/>
    </row>
    <row r="29" spans="3:9" x14ac:dyDescent="0.25">
      <c r="C29" s="3"/>
      <c r="D29" s="3"/>
      <c r="E29" s="4"/>
      <c r="G29" s="3"/>
      <c r="I29" s="3"/>
    </row>
    <row r="30" spans="3:9" x14ac:dyDescent="0.25">
      <c r="C30" s="3"/>
      <c r="D30" s="3"/>
      <c r="E30" s="4"/>
      <c r="G30" s="3"/>
      <c r="I30" s="3"/>
    </row>
    <row r="31" spans="3:9" x14ac:dyDescent="0.25">
      <c r="C31" s="3"/>
      <c r="D31" s="3"/>
      <c r="E31" s="4"/>
      <c r="G31" s="3"/>
      <c r="I31" s="3"/>
    </row>
    <row r="32" spans="3:9" x14ac:dyDescent="0.25">
      <c r="C32" s="3"/>
      <c r="D32" s="3"/>
      <c r="E32" s="4"/>
      <c r="G32" s="3"/>
      <c r="I32" s="3"/>
    </row>
    <row r="33" spans="3:9" x14ac:dyDescent="0.25">
      <c r="C33" s="3"/>
      <c r="D33" s="3"/>
      <c r="E33" s="4"/>
      <c r="G33" s="3"/>
      <c r="I33" s="3"/>
    </row>
    <row r="34" spans="3:9" x14ac:dyDescent="0.25">
      <c r="C34" s="3"/>
      <c r="D34" s="3"/>
      <c r="E34" s="4"/>
      <c r="G34" s="3"/>
      <c r="I34" s="3"/>
    </row>
    <row r="35" spans="3:9" x14ac:dyDescent="0.25">
      <c r="C35" s="3"/>
      <c r="D35" s="3"/>
      <c r="E35" s="4"/>
      <c r="G35" s="3"/>
      <c r="I35" s="3"/>
    </row>
    <row r="36" spans="3:9" x14ac:dyDescent="0.25">
      <c r="C36" s="3"/>
      <c r="D36" s="3"/>
      <c r="E36" s="4"/>
      <c r="G36" s="3"/>
      <c r="I36" s="3"/>
    </row>
    <row r="37" spans="3:9" x14ac:dyDescent="0.25">
      <c r="C37" s="3"/>
      <c r="D37" s="3"/>
      <c r="E37" s="4"/>
      <c r="G37" s="3"/>
      <c r="I37" s="3"/>
    </row>
    <row r="38" spans="3:9" x14ac:dyDescent="0.25">
      <c r="C38" s="3"/>
      <c r="D38" s="3"/>
      <c r="E38" s="4"/>
      <c r="G38" s="3"/>
      <c r="I38" s="3"/>
    </row>
    <row r="39" spans="3:9" x14ac:dyDescent="0.25">
      <c r="C39" s="3"/>
      <c r="D39" s="3"/>
      <c r="E39" s="4"/>
      <c r="G39" s="3"/>
      <c r="I39" s="3"/>
    </row>
    <row r="40" spans="3:9" x14ac:dyDescent="0.25">
      <c r="C40" s="3"/>
      <c r="D40" s="3"/>
      <c r="E40" s="4"/>
      <c r="G40" s="3"/>
      <c r="I40" s="3"/>
    </row>
    <row r="41" spans="3:9" x14ac:dyDescent="0.25">
      <c r="C41" s="3"/>
      <c r="D41" s="3"/>
      <c r="E41" s="4"/>
      <c r="G41" s="3"/>
      <c r="I41" s="3"/>
    </row>
    <row r="42" spans="3:9" x14ac:dyDescent="0.25">
      <c r="C42" s="3"/>
      <c r="D42" s="3"/>
      <c r="E42" s="4"/>
      <c r="G42" s="3"/>
      <c r="I42" s="3"/>
    </row>
    <row r="43" spans="3:9" x14ac:dyDescent="0.25">
      <c r="C43" s="3"/>
      <c r="D43" s="3"/>
      <c r="E43" s="4"/>
      <c r="G43" s="3"/>
      <c r="I43" s="3"/>
    </row>
    <row r="44" spans="3:9" x14ac:dyDescent="0.25">
      <c r="C44" s="3"/>
      <c r="D44" s="3"/>
      <c r="E44" s="4"/>
      <c r="G44" s="3"/>
      <c r="I44" s="3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F024E-CC70-441E-8A81-84BBA5A1F423}">
  <dimension ref="A1:P31"/>
  <sheetViews>
    <sheetView topLeftCell="I1" workbookViewId="0">
      <selection activeCell="O1" sqref="O1"/>
    </sheetView>
  </sheetViews>
  <sheetFormatPr defaultRowHeight="15" x14ac:dyDescent="0.25"/>
  <cols>
    <col min="1" max="1" width="14.140625" customWidth="1"/>
    <col min="2" max="2" width="17.7109375" customWidth="1"/>
    <col min="3" max="3" width="21.7109375" customWidth="1"/>
    <col min="4" max="4" width="19.5703125" customWidth="1"/>
    <col min="5" max="5" width="13.5703125" customWidth="1"/>
    <col min="6" max="6" width="13.42578125" customWidth="1"/>
    <col min="7" max="7" width="21" customWidth="1"/>
    <col min="8" max="8" width="13.140625" customWidth="1"/>
    <col min="9" max="9" width="13.42578125" customWidth="1"/>
    <col min="10" max="10" width="11.7109375" customWidth="1"/>
    <col min="11" max="11" width="9.140625" customWidth="1"/>
    <col min="12" max="12" width="15" customWidth="1"/>
    <col min="13" max="13" width="27.140625" customWidth="1"/>
    <col min="14" max="14" width="15.42578125" customWidth="1"/>
    <col min="15" max="15" width="12.85546875" customWidth="1"/>
    <col min="16" max="16" width="14.85546875" customWidth="1"/>
  </cols>
  <sheetData>
    <row r="1" spans="1:16" x14ac:dyDescent="0.25">
      <c r="A1" t="s">
        <v>22</v>
      </c>
      <c r="B1" t="s">
        <v>4</v>
      </c>
      <c r="C1" t="s">
        <v>32</v>
      </c>
      <c r="D1" t="s">
        <v>23</v>
      </c>
      <c r="E1" t="s">
        <v>20</v>
      </c>
      <c r="F1" t="s">
        <v>2</v>
      </c>
      <c r="G1" t="s">
        <v>21</v>
      </c>
      <c r="H1" t="s">
        <v>5</v>
      </c>
      <c r="I1" t="s">
        <v>24</v>
      </c>
      <c r="J1" t="s">
        <v>27</v>
      </c>
      <c r="K1" t="s">
        <v>25</v>
      </c>
      <c r="L1" t="s">
        <v>0</v>
      </c>
      <c r="M1" t="s">
        <v>26</v>
      </c>
      <c r="N1" t="s">
        <v>6</v>
      </c>
      <c r="O1" t="s">
        <v>43</v>
      </c>
      <c r="P1" t="s">
        <v>44</v>
      </c>
    </row>
    <row r="2" spans="1:16" x14ac:dyDescent="0.25">
      <c r="A2">
        <v>1</v>
      </c>
      <c r="B2">
        <v>16.5</v>
      </c>
      <c r="C2">
        <f>E2 * (B2/100)</f>
        <v>4.62</v>
      </c>
      <c r="D2" s="2">
        <f>F2*(B2/100)</f>
        <v>0.19250000000000003</v>
      </c>
      <c r="E2">
        <v>28</v>
      </c>
      <c r="F2" s="2">
        <v>1.1666666666666667</v>
      </c>
      <c r="G2">
        <v>0</v>
      </c>
      <c r="H2" s="1">
        <v>0</v>
      </c>
      <c r="I2" t="s">
        <v>33</v>
      </c>
      <c r="J2" t="s">
        <v>36</v>
      </c>
      <c r="K2">
        <v>1</v>
      </c>
      <c r="L2">
        <v>1</v>
      </c>
      <c r="M2" t="s">
        <v>31</v>
      </c>
      <c r="N2" t="s">
        <v>19</v>
      </c>
      <c r="O2">
        <v>0</v>
      </c>
      <c r="P2">
        <v>17</v>
      </c>
    </row>
    <row r="3" spans="1:16" x14ac:dyDescent="0.25">
      <c r="A3">
        <v>2</v>
      </c>
      <c r="B3">
        <v>16.5</v>
      </c>
      <c r="C3">
        <f>E3 * (B3/100)</f>
        <v>4.62</v>
      </c>
      <c r="D3" s="2">
        <f t="shared" ref="D3:D31" si="0">F3*(B3/100)</f>
        <v>0.19250000000000003</v>
      </c>
      <c r="E3">
        <v>28</v>
      </c>
      <c r="F3" s="2">
        <v>1.1666666666666667</v>
      </c>
      <c r="G3">
        <v>0</v>
      </c>
      <c r="H3" s="1">
        <v>0</v>
      </c>
      <c r="I3" t="s">
        <v>33</v>
      </c>
      <c r="J3" t="s">
        <v>36</v>
      </c>
      <c r="K3">
        <v>2</v>
      </c>
      <c r="L3">
        <v>1</v>
      </c>
      <c r="M3" t="s">
        <v>38</v>
      </c>
      <c r="N3" t="s">
        <v>19</v>
      </c>
      <c r="O3">
        <v>0</v>
      </c>
      <c r="P3">
        <v>24</v>
      </c>
    </row>
    <row r="4" spans="1:16" x14ac:dyDescent="0.25">
      <c r="A4">
        <v>3</v>
      </c>
      <c r="B4">
        <v>16</v>
      </c>
      <c r="C4">
        <f>E4 * (B4/100)</f>
        <v>4.4800000000000004</v>
      </c>
      <c r="D4" s="2">
        <f t="shared" si="0"/>
        <v>0.18666666666666668</v>
      </c>
      <c r="E4">
        <v>28</v>
      </c>
      <c r="F4" s="2">
        <v>1.1666666666666667</v>
      </c>
      <c r="G4">
        <v>0</v>
      </c>
      <c r="H4" s="1">
        <v>0</v>
      </c>
      <c r="I4" t="s">
        <v>33</v>
      </c>
      <c r="J4" t="s">
        <v>37</v>
      </c>
      <c r="K4">
        <v>4</v>
      </c>
      <c r="L4">
        <v>1</v>
      </c>
      <c r="M4" t="s">
        <v>39</v>
      </c>
      <c r="N4" t="s">
        <v>19</v>
      </c>
      <c r="O4">
        <v>0</v>
      </c>
      <c r="P4">
        <v>23</v>
      </c>
    </row>
    <row r="5" spans="1:16" x14ac:dyDescent="0.25">
      <c r="A5">
        <v>4</v>
      </c>
      <c r="B5">
        <v>16</v>
      </c>
      <c r="C5">
        <f t="shared" ref="C5:C31" si="1">E5 * (B5/100)</f>
        <v>4.4800000000000004</v>
      </c>
      <c r="D5" s="2">
        <f t="shared" si="0"/>
        <v>0.18666666666666668</v>
      </c>
      <c r="E5">
        <v>28</v>
      </c>
      <c r="F5" s="2">
        <v>1.1666666666666667</v>
      </c>
      <c r="G5">
        <v>0</v>
      </c>
      <c r="H5" s="1">
        <v>0</v>
      </c>
      <c r="I5" t="s">
        <v>33</v>
      </c>
      <c r="J5" t="s">
        <v>37</v>
      </c>
      <c r="K5">
        <v>7</v>
      </c>
      <c r="L5">
        <v>1</v>
      </c>
      <c r="M5" t="s">
        <v>40</v>
      </c>
      <c r="N5" t="s">
        <v>19</v>
      </c>
      <c r="O5">
        <v>0</v>
      </c>
      <c r="P5">
        <v>22</v>
      </c>
    </row>
    <row r="6" spans="1:16" x14ac:dyDescent="0.25">
      <c r="A6">
        <v>5</v>
      </c>
      <c r="B6">
        <v>16</v>
      </c>
      <c r="C6">
        <f t="shared" si="1"/>
        <v>4.4800000000000004</v>
      </c>
      <c r="D6" s="2">
        <f t="shared" si="0"/>
        <v>0.18666666666666668</v>
      </c>
      <c r="E6">
        <v>28</v>
      </c>
      <c r="F6" s="2">
        <v>1.1666666666666667</v>
      </c>
      <c r="G6">
        <v>0</v>
      </c>
      <c r="H6" s="1">
        <v>0</v>
      </c>
      <c r="I6" t="s">
        <v>33</v>
      </c>
      <c r="J6" t="s">
        <v>37</v>
      </c>
      <c r="K6">
        <v>3</v>
      </c>
      <c r="L6">
        <v>1</v>
      </c>
      <c r="M6" t="s">
        <v>9</v>
      </c>
      <c r="N6" t="s">
        <v>19</v>
      </c>
      <c r="O6">
        <v>0</v>
      </c>
      <c r="P6">
        <v>13</v>
      </c>
    </row>
    <row r="7" spans="1:16" x14ac:dyDescent="0.25">
      <c r="A7">
        <v>6</v>
      </c>
      <c r="B7">
        <v>19</v>
      </c>
      <c r="C7">
        <f t="shared" si="1"/>
        <v>5.32</v>
      </c>
      <c r="D7" s="2">
        <f t="shared" si="0"/>
        <v>0.22166666666666668</v>
      </c>
      <c r="E7">
        <v>28</v>
      </c>
      <c r="F7" s="2">
        <v>1.1666666666666667</v>
      </c>
      <c r="G7">
        <v>0</v>
      </c>
      <c r="H7" s="1">
        <v>0</v>
      </c>
      <c r="I7" t="s">
        <v>33</v>
      </c>
      <c r="J7" t="s">
        <v>42</v>
      </c>
      <c r="K7">
        <v>12</v>
      </c>
      <c r="L7">
        <v>1</v>
      </c>
      <c r="M7" t="s">
        <v>41</v>
      </c>
      <c r="N7" t="s">
        <v>19</v>
      </c>
      <c r="O7">
        <v>0</v>
      </c>
      <c r="P7">
        <v>27</v>
      </c>
    </row>
    <row r="8" spans="1:16" x14ac:dyDescent="0.25">
      <c r="A8">
        <v>7</v>
      </c>
      <c r="B8">
        <v>14</v>
      </c>
      <c r="C8">
        <f t="shared" si="1"/>
        <v>1.3720000000000003</v>
      </c>
      <c r="D8" s="2">
        <f t="shared" si="0"/>
        <v>5.7166666666666671E-2</v>
      </c>
      <c r="E8">
        <v>9.8000000000000007</v>
      </c>
      <c r="F8" s="1">
        <v>0.40833333333333333</v>
      </c>
      <c r="G8">
        <v>0</v>
      </c>
      <c r="H8" s="1">
        <v>0</v>
      </c>
      <c r="I8" t="s">
        <v>34</v>
      </c>
      <c r="J8" t="s">
        <v>28</v>
      </c>
      <c r="K8">
        <v>1</v>
      </c>
      <c r="L8">
        <v>1</v>
      </c>
      <c r="M8" t="s">
        <v>7</v>
      </c>
      <c r="N8" t="s">
        <v>19</v>
      </c>
      <c r="O8">
        <v>0.25640000000000002</v>
      </c>
    </row>
    <row r="9" spans="1:16" x14ac:dyDescent="0.25">
      <c r="A9">
        <v>8</v>
      </c>
      <c r="B9">
        <v>17</v>
      </c>
      <c r="C9">
        <f t="shared" si="1"/>
        <v>1.6660000000000001</v>
      </c>
      <c r="D9" s="2">
        <f t="shared" si="0"/>
        <v>6.9416666666666668E-2</v>
      </c>
      <c r="E9">
        <v>9.8000000000000007</v>
      </c>
      <c r="F9" s="1">
        <v>0.40833333333333333</v>
      </c>
      <c r="G9">
        <v>0</v>
      </c>
      <c r="H9" s="1">
        <v>0</v>
      </c>
      <c r="I9" t="s">
        <v>34</v>
      </c>
      <c r="J9" t="s">
        <v>28</v>
      </c>
      <c r="K9">
        <v>2</v>
      </c>
      <c r="L9">
        <v>1</v>
      </c>
      <c r="M9" t="s">
        <v>8</v>
      </c>
      <c r="N9" t="s">
        <v>19</v>
      </c>
      <c r="O9">
        <v>0.2487</v>
      </c>
    </row>
    <row r="10" spans="1:16" x14ac:dyDescent="0.25">
      <c r="A10">
        <v>9</v>
      </c>
      <c r="B10">
        <v>13</v>
      </c>
      <c r="C10">
        <f t="shared" si="1"/>
        <v>1.2740000000000002</v>
      </c>
      <c r="D10" s="2">
        <f t="shared" si="0"/>
        <v>5.3083333333333337E-2</v>
      </c>
      <c r="E10">
        <v>9.8000000000000007</v>
      </c>
      <c r="F10" s="1">
        <v>0.40833333333333333</v>
      </c>
      <c r="G10">
        <v>0</v>
      </c>
      <c r="H10" s="1">
        <v>0</v>
      </c>
      <c r="I10" t="s">
        <v>34</v>
      </c>
      <c r="J10" t="s">
        <v>28</v>
      </c>
      <c r="K10">
        <v>3</v>
      </c>
      <c r="L10">
        <v>1</v>
      </c>
      <c r="M10" t="s">
        <v>9</v>
      </c>
      <c r="N10" t="s">
        <v>19</v>
      </c>
      <c r="O10">
        <v>1.5342</v>
      </c>
    </row>
    <row r="11" spans="1:16" x14ac:dyDescent="0.25">
      <c r="A11">
        <v>10</v>
      </c>
      <c r="B11">
        <v>10</v>
      </c>
      <c r="C11">
        <f t="shared" si="1"/>
        <v>0.98000000000000009</v>
      </c>
      <c r="D11" s="2">
        <f t="shared" si="0"/>
        <v>4.0833333333333333E-2</v>
      </c>
      <c r="E11">
        <v>9.8000000000000007</v>
      </c>
      <c r="F11" s="1">
        <v>0.40833333333333333</v>
      </c>
      <c r="G11">
        <v>0</v>
      </c>
      <c r="H11" s="1">
        <v>0</v>
      </c>
      <c r="I11" t="s">
        <v>34</v>
      </c>
      <c r="J11" t="s">
        <v>29</v>
      </c>
      <c r="K11">
        <v>4</v>
      </c>
      <c r="L11">
        <v>1</v>
      </c>
      <c r="M11" t="s">
        <v>10</v>
      </c>
      <c r="N11" t="s">
        <v>19</v>
      </c>
      <c r="O11">
        <v>2.8000000000000001E-2</v>
      </c>
    </row>
    <row r="12" spans="1:16" x14ac:dyDescent="0.25">
      <c r="A12">
        <v>11</v>
      </c>
      <c r="B12">
        <v>8</v>
      </c>
      <c r="C12">
        <f t="shared" si="1"/>
        <v>0.78400000000000003</v>
      </c>
      <c r="D12" s="2">
        <f t="shared" si="0"/>
        <v>3.2666666666666663E-2</v>
      </c>
      <c r="E12">
        <v>9.8000000000000007</v>
      </c>
      <c r="F12" s="1">
        <v>0.40833333333333333</v>
      </c>
      <c r="G12">
        <v>0</v>
      </c>
      <c r="H12" s="1">
        <v>0</v>
      </c>
      <c r="I12" t="s">
        <v>34</v>
      </c>
      <c r="J12" t="s">
        <v>29</v>
      </c>
      <c r="K12">
        <v>5</v>
      </c>
      <c r="L12">
        <v>1</v>
      </c>
      <c r="M12" t="s">
        <v>11</v>
      </c>
      <c r="N12" t="s">
        <v>19</v>
      </c>
      <c r="O12">
        <v>0.12139999999999999</v>
      </c>
    </row>
    <row r="13" spans="1:16" x14ac:dyDescent="0.25">
      <c r="A13">
        <v>12</v>
      </c>
      <c r="B13">
        <v>7</v>
      </c>
      <c r="C13">
        <f t="shared" si="1"/>
        <v>0.68600000000000017</v>
      </c>
      <c r="D13" s="2">
        <f t="shared" si="0"/>
        <v>2.8583333333333336E-2</v>
      </c>
      <c r="E13">
        <v>9.8000000000000007</v>
      </c>
      <c r="F13" s="1">
        <v>0.40833333333333333</v>
      </c>
      <c r="G13">
        <v>0</v>
      </c>
      <c r="H13" s="1">
        <v>0</v>
      </c>
      <c r="I13" t="s">
        <v>34</v>
      </c>
      <c r="J13" t="s">
        <v>29</v>
      </c>
      <c r="K13">
        <v>6</v>
      </c>
      <c r="L13">
        <v>1</v>
      </c>
      <c r="M13" t="s">
        <v>12</v>
      </c>
      <c r="N13" t="s">
        <v>19</v>
      </c>
      <c r="O13">
        <v>2.3699999999999999E-2</v>
      </c>
    </row>
    <row r="14" spans="1:16" x14ac:dyDescent="0.25">
      <c r="A14">
        <v>13</v>
      </c>
      <c r="B14">
        <v>6</v>
      </c>
      <c r="C14">
        <f t="shared" si="1"/>
        <v>0.58799999999999997</v>
      </c>
      <c r="D14" s="2">
        <f t="shared" si="0"/>
        <v>2.4499999999999997E-2</v>
      </c>
      <c r="E14">
        <v>9.8000000000000007</v>
      </c>
      <c r="F14" s="1">
        <v>0.40833333333333333</v>
      </c>
      <c r="G14">
        <v>0</v>
      </c>
      <c r="H14" s="1">
        <v>0</v>
      </c>
      <c r="I14" t="s">
        <v>34</v>
      </c>
      <c r="J14" t="s">
        <v>29</v>
      </c>
      <c r="K14">
        <v>7</v>
      </c>
      <c r="L14">
        <v>1</v>
      </c>
      <c r="M14" t="s">
        <v>13</v>
      </c>
      <c r="N14" t="s">
        <v>19</v>
      </c>
      <c r="O14">
        <v>7.0000000000000001E-3</v>
      </c>
    </row>
    <row r="15" spans="1:16" x14ac:dyDescent="0.25">
      <c r="A15">
        <v>14</v>
      </c>
      <c r="B15">
        <v>6</v>
      </c>
      <c r="C15">
        <f t="shared" si="1"/>
        <v>0.58799999999999997</v>
      </c>
      <c r="D15" s="2">
        <f t="shared" si="0"/>
        <v>2.4499999999999997E-2</v>
      </c>
      <c r="E15">
        <v>9.8000000000000007</v>
      </c>
      <c r="F15" s="1">
        <v>0.40833333333333333</v>
      </c>
      <c r="G15">
        <v>0</v>
      </c>
      <c r="H15" s="1">
        <v>0</v>
      </c>
      <c r="I15" t="s">
        <v>34</v>
      </c>
      <c r="J15" t="s">
        <v>29</v>
      </c>
      <c r="K15">
        <v>8</v>
      </c>
      <c r="L15">
        <v>1</v>
      </c>
      <c r="M15" t="s">
        <v>14</v>
      </c>
      <c r="N15" t="s">
        <v>19</v>
      </c>
      <c r="O15">
        <v>1.7999999999999999E-2</v>
      </c>
    </row>
    <row r="16" spans="1:16" x14ac:dyDescent="0.25">
      <c r="A16">
        <v>15</v>
      </c>
      <c r="B16">
        <v>5</v>
      </c>
      <c r="C16">
        <f t="shared" si="1"/>
        <v>0.49000000000000005</v>
      </c>
      <c r="D16" s="2">
        <f t="shared" si="0"/>
        <v>2.0416666666666666E-2</v>
      </c>
      <c r="E16">
        <v>9.8000000000000007</v>
      </c>
      <c r="F16" s="1">
        <v>0.40833333333333333</v>
      </c>
      <c r="G16">
        <v>0</v>
      </c>
      <c r="H16" s="1">
        <v>0</v>
      </c>
      <c r="I16" t="s">
        <v>34</v>
      </c>
      <c r="J16" t="s">
        <v>30</v>
      </c>
      <c r="K16">
        <v>9</v>
      </c>
      <c r="L16">
        <v>1</v>
      </c>
      <c r="M16" t="s">
        <v>15</v>
      </c>
      <c r="N16" t="s">
        <v>19</v>
      </c>
      <c r="O16">
        <v>0.13100000000000001</v>
      </c>
    </row>
    <row r="17" spans="1:15" x14ac:dyDescent="0.25">
      <c r="A17">
        <v>16</v>
      </c>
      <c r="B17">
        <v>5</v>
      </c>
      <c r="C17">
        <f t="shared" si="1"/>
        <v>0.49000000000000005</v>
      </c>
      <c r="D17" s="2">
        <f t="shared" si="0"/>
        <v>2.0416666666666666E-2</v>
      </c>
      <c r="E17">
        <v>9.8000000000000007</v>
      </c>
      <c r="F17" s="1">
        <v>0.40833333333333333</v>
      </c>
      <c r="G17">
        <v>0</v>
      </c>
      <c r="H17" s="1">
        <v>0</v>
      </c>
      <c r="I17" t="s">
        <v>34</v>
      </c>
      <c r="J17" t="s">
        <v>30</v>
      </c>
      <c r="K17">
        <v>10</v>
      </c>
      <c r="L17">
        <v>1</v>
      </c>
      <c r="M17" t="s">
        <v>16</v>
      </c>
      <c r="N17" t="s">
        <v>19</v>
      </c>
      <c r="O17">
        <v>1.6400000000000001E-2</v>
      </c>
    </row>
    <row r="18" spans="1:15" x14ac:dyDescent="0.25">
      <c r="A18">
        <v>17</v>
      </c>
      <c r="B18">
        <v>5</v>
      </c>
      <c r="C18">
        <f t="shared" si="1"/>
        <v>0.49000000000000005</v>
      </c>
      <c r="D18" s="2">
        <f t="shared" si="0"/>
        <v>2.0416666666666666E-2</v>
      </c>
      <c r="E18">
        <v>9.8000000000000007</v>
      </c>
      <c r="F18" s="1">
        <v>0.40833333333333333</v>
      </c>
      <c r="G18">
        <v>0</v>
      </c>
      <c r="H18" s="1">
        <v>0</v>
      </c>
      <c r="I18" t="s">
        <v>34</v>
      </c>
      <c r="J18" t="s">
        <v>30</v>
      </c>
      <c r="K18">
        <v>11</v>
      </c>
      <c r="L18">
        <v>1</v>
      </c>
      <c r="M18" t="s">
        <v>17</v>
      </c>
      <c r="N18" t="s">
        <v>19</v>
      </c>
      <c r="O18">
        <v>3.2300000000000002E-2</v>
      </c>
    </row>
    <row r="19" spans="1:15" x14ac:dyDescent="0.25">
      <c r="A19">
        <v>18</v>
      </c>
      <c r="B19">
        <v>4</v>
      </c>
      <c r="C19">
        <f t="shared" si="1"/>
        <v>0.39200000000000002</v>
      </c>
      <c r="D19" s="2">
        <f t="shared" si="0"/>
        <v>1.6333333333333332E-2</v>
      </c>
      <c r="E19">
        <v>9.8000000000000007</v>
      </c>
      <c r="F19" s="1">
        <v>0.40833333333333333</v>
      </c>
      <c r="G19">
        <v>0</v>
      </c>
      <c r="H19" s="1">
        <v>0</v>
      </c>
      <c r="I19" t="s">
        <v>34</v>
      </c>
      <c r="J19" t="s">
        <v>30</v>
      </c>
      <c r="K19">
        <v>12</v>
      </c>
      <c r="L19">
        <v>1</v>
      </c>
      <c r="M19" t="s">
        <v>18</v>
      </c>
      <c r="N19" t="s">
        <v>19</v>
      </c>
    </row>
    <row r="20" spans="1:15" x14ac:dyDescent="0.25">
      <c r="A20">
        <v>19</v>
      </c>
      <c r="B20">
        <v>14</v>
      </c>
      <c r="C20">
        <f t="shared" si="1"/>
        <v>1.3989220000000002</v>
      </c>
      <c r="D20" s="2">
        <f t="shared" si="0"/>
        <v>5.8287962962962972E-2</v>
      </c>
      <c r="E20">
        <v>9.9923000000000002</v>
      </c>
      <c r="F20" s="1">
        <v>0.4163425925925926</v>
      </c>
      <c r="I20" t="s">
        <v>35</v>
      </c>
      <c r="J20" t="s">
        <v>28</v>
      </c>
      <c r="K20">
        <v>1</v>
      </c>
      <c r="L20">
        <v>1</v>
      </c>
      <c r="M20" t="s">
        <v>7</v>
      </c>
      <c r="N20" t="s">
        <v>19</v>
      </c>
      <c r="O20">
        <f>A20</f>
        <v>19</v>
      </c>
    </row>
    <row r="21" spans="1:15" x14ac:dyDescent="0.25">
      <c r="A21">
        <v>20</v>
      </c>
      <c r="B21">
        <v>17</v>
      </c>
      <c r="C21">
        <f t="shared" si="1"/>
        <v>1.6986910000000002</v>
      </c>
      <c r="D21" s="2">
        <f t="shared" si="0"/>
        <v>7.0778240740740753E-2</v>
      </c>
      <c r="E21">
        <v>9.9923000000000002</v>
      </c>
      <c r="F21" s="1">
        <v>0.4163425925925926</v>
      </c>
      <c r="I21" t="s">
        <v>35</v>
      </c>
      <c r="J21" t="s">
        <v>28</v>
      </c>
      <c r="K21">
        <v>2</v>
      </c>
      <c r="L21">
        <v>1</v>
      </c>
      <c r="M21" t="s">
        <v>8</v>
      </c>
      <c r="N21" t="s">
        <v>19</v>
      </c>
      <c r="O21">
        <f t="shared" ref="O21:O31" si="2">A21</f>
        <v>20</v>
      </c>
    </row>
    <row r="22" spans="1:15" x14ac:dyDescent="0.25">
      <c r="A22">
        <v>21</v>
      </c>
      <c r="B22">
        <v>13</v>
      </c>
      <c r="C22">
        <f t="shared" si="1"/>
        <v>1.298999</v>
      </c>
      <c r="D22" s="2">
        <f t="shared" si="0"/>
        <v>5.412453703703704E-2</v>
      </c>
      <c r="E22">
        <v>9.9923000000000002</v>
      </c>
      <c r="F22" s="1">
        <v>0.4163425925925926</v>
      </c>
      <c r="I22" t="s">
        <v>35</v>
      </c>
      <c r="J22" t="s">
        <v>28</v>
      </c>
      <c r="K22">
        <v>3</v>
      </c>
      <c r="L22">
        <v>1</v>
      </c>
      <c r="M22" t="s">
        <v>9</v>
      </c>
      <c r="N22" t="s">
        <v>19</v>
      </c>
      <c r="O22">
        <f t="shared" si="2"/>
        <v>21</v>
      </c>
    </row>
    <row r="23" spans="1:15" x14ac:dyDescent="0.25">
      <c r="A23">
        <v>22</v>
      </c>
      <c r="B23">
        <v>10</v>
      </c>
      <c r="C23">
        <f t="shared" si="1"/>
        <v>0.99923000000000006</v>
      </c>
      <c r="D23" s="2">
        <f t="shared" si="0"/>
        <v>4.163425925925926E-2</v>
      </c>
      <c r="E23">
        <v>9.9923000000000002</v>
      </c>
      <c r="F23" s="1">
        <v>0.4163425925925926</v>
      </c>
      <c r="I23" t="s">
        <v>35</v>
      </c>
      <c r="J23" t="s">
        <v>29</v>
      </c>
      <c r="K23">
        <v>4</v>
      </c>
      <c r="L23">
        <v>1</v>
      </c>
      <c r="M23" t="s">
        <v>10</v>
      </c>
      <c r="N23" t="s">
        <v>19</v>
      </c>
      <c r="O23">
        <f t="shared" si="2"/>
        <v>22</v>
      </c>
    </row>
    <row r="24" spans="1:15" x14ac:dyDescent="0.25">
      <c r="A24">
        <v>23</v>
      </c>
      <c r="B24">
        <v>8</v>
      </c>
      <c r="C24">
        <f t="shared" si="1"/>
        <v>0.79938399999999998</v>
      </c>
      <c r="D24" s="2">
        <f t="shared" si="0"/>
        <v>3.3307407407407411E-2</v>
      </c>
      <c r="E24">
        <v>9.9923000000000002</v>
      </c>
      <c r="F24" s="1">
        <v>0.4163425925925926</v>
      </c>
      <c r="I24" t="s">
        <v>35</v>
      </c>
      <c r="J24" t="s">
        <v>29</v>
      </c>
      <c r="K24">
        <v>5</v>
      </c>
      <c r="L24">
        <v>1</v>
      </c>
      <c r="M24" t="s">
        <v>11</v>
      </c>
      <c r="N24" t="s">
        <v>19</v>
      </c>
      <c r="O24">
        <f t="shared" si="2"/>
        <v>23</v>
      </c>
    </row>
    <row r="25" spans="1:15" x14ac:dyDescent="0.25">
      <c r="A25">
        <v>24</v>
      </c>
      <c r="B25">
        <v>7</v>
      </c>
      <c r="C25">
        <f t="shared" si="1"/>
        <v>0.69946100000000011</v>
      </c>
      <c r="D25" s="2">
        <f t="shared" si="0"/>
        <v>2.9143981481481486E-2</v>
      </c>
      <c r="E25">
        <v>9.9923000000000002</v>
      </c>
      <c r="F25" s="1">
        <v>0.4163425925925926</v>
      </c>
      <c r="I25" t="s">
        <v>35</v>
      </c>
      <c r="J25" t="s">
        <v>29</v>
      </c>
      <c r="K25">
        <v>6</v>
      </c>
      <c r="L25">
        <v>1</v>
      </c>
      <c r="M25" t="s">
        <v>12</v>
      </c>
      <c r="N25" t="s">
        <v>19</v>
      </c>
      <c r="O25">
        <f t="shared" si="2"/>
        <v>24</v>
      </c>
    </row>
    <row r="26" spans="1:15" x14ac:dyDescent="0.25">
      <c r="A26">
        <v>25</v>
      </c>
      <c r="B26">
        <v>6</v>
      </c>
      <c r="C26">
        <f t="shared" si="1"/>
        <v>0.59953800000000002</v>
      </c>
      <c r="D26" s="2">
        <f t="shared" si="0"/>
        <v>2.4980555555555554E-2</v>
      </c>
      <c r="E26">
        <v>9.9923000000000002</v>
      </c>
      <c r="F26" s="1">
        <v>0.4163425925925926</v>
      </c>
      <c r="I26" t="s">
        <v>35</v>
      </c>
      <c r="J26" t="s">
        <v>29</v>
      </c>
      <c r="K26">
        <v>7</v>
      </c>
      <c r="L26">
        <v>1</v>
      </c>
      <c r="M26" t="s">
        <v>13</v>
      </c>
      <c r="N26" t="s">
        <v>19</v>
      </c>
      <c r="O26">
        <f t="shared" si="2"/>
        <v>25</v>
      </c>
    </row>
    <row r="27" spans="1:15" x14ac:dyDescent="0.25">
      <c r="A27">
        <v>26</v>
      </c>
      <c r="B27">
        <v>6</v>
      </c>
      <c r="C27">
        <f t="shared" si="1"/>
        <v>0.59953800000000002</v>
      </c>
      <c r="D27" s="2">
        <f t="shared" si="0"/>
        <v>2.4980555555555554E-2</v>
      </c>
      <c r="E27">
        <v>9.9923000000000002</v>
      </c>
      <c r="F27" s="1">
        <v>0.4163425925925926</v>
      </c>
      <c r="I27" t="s">
        <v>35</v>
      </c>
      <c r="J27" t="s">
        <v>29</v>
      </c>
      <c r="K27">
        <v>8</v>
      </c>
      <c r="L27">
        <v>1</v>
      </c>
      <c r="M27" t="s">
        <v>14</v>
      </c>
      <c r="N27" t="s">
        <v>19</v>
      </c>
      <c r="O27">
        <f t="shared" si="2"/>
        <v>26</v>
      </c>
    </row>
    <row r="28" spans="1:15" x14ac:dyDescent="0.25">
      <c r="A28">
        <v>27</v>
      </c>
      <c r="B28">
        <v>5</v>
      </c>
      <c r="C28">
        <f t="shared" si="1"/>
        <v>0.49961500000000003</v>
      </c>
      <c r="D28" s="2">
        <f t="shared" si="0"/>
        <v>2.081712962962963E-2</v>
      </c>
      <c r="E28">
        <v>9.9923000000000002</v>
      </c>
      <c r="F28" s="1">
        <v>0.4163425925925926</v>
      </c>
      <c r="I28" t="s">
        <v>35</v>
      </c>
      <c r="J28" t="s">
        <v>30</v>
      </c>
      <c r="K28">
        <v>9</v>
      </c>
      <c r="L28">
        <v>1</v>
      </c>
      <c r="M28" t="s">
        <v>15</v>
      </c>
      <c r="N28" t="s">
        <v>19</v>
      </c>
      <c r="O28">
        <f t="shared" si="2"/>
        <v>27</v>
      </c>
    </row>
    <row r="29" spans="1:15" x14ac:dyDescent="0.25">
      <c r="A29">
        <v>28</v>
      </c>
      <c r="B29">
        <v>5</v>
      </c>
      <c r="C29">
        <f t="shared" si="1"/>
        <v>0.49961500000000003</v>
      </c>
      <c r="D29" s="2">
        <f t="shared" si="0"/>
        <v>2.081712962962963E-2</v>
      </c>
      <c r="E29">
        <v>9.9923000000000002</v>
      </c>
      <c r="F29" s="1">
        <v>0.4163425925925926</v>
      </c>
      <c r="I29" t="s">
        <v>35</v>
      </c>
      <c r="J29" t="s">
        <v>30</v>
      </c>
      <c r="K29">
        <v>10</v>
      </c>
      <c r="L29">
        <v>1</v>
      </c>
      <c r="M29" t="s">
        <v>16</v>
      </c>
      <c r="N29" t="s">
        <v>19</v>
      </c>
      <c r="O29">
        <f t="shared" si="2"/>
        <v>28</v>
      </c>
    </row>
    <row r="30" spans="1:15" x14ac:dyDescent="0.25">
      <c r="A30">
        <v>29</v>
      </c>
      <c r="B30">
        <v>5</v>
      </c>
      <c r="C30">
        <f t="shared" si="1"/>
        <v>0.49961500000000003</v>
      </c>
      <c r="D30" s="2">
        <f t="shared" si="0"/>
        <v>2.081712962962963E-2</v>
      </c>
      <c r="E30">
        <v>9.9923000000000002</v>
      </c>
      <c r="F30" s="1">
        <v>0.4163425925925926</v>
      </c>
      <c r="I30" t="s">
        <v>35</v>
      </c>
      <c r="J30" t="s">
        <v>30</v>
      </c>
      <c r="K30">
        <v>11</v>
      </c>
      <c r="L30">
        <v>1</v>
      </c>
      <c r="M30" t="s">
        <v>17</v>
      </c>
      <c r="N30" t="s">
        <v>19</v>
      </c>
      <c r="O30">
        <f t="shared" si="2"/>
        <v>29</v>
      </c>
    </row>
    <row r="31" spans="1:15" x14ac:dyDescent="0.25">
      <c r="A31">
        <v>30</v>
      </c>
      <c r="B31">
        <v>4</v>
      </c>
      <c r="C31">
        <f t="shared" si="1"/>
        <v>0.39969199999999999</v>
      </c>
      <c r="D31" s="2">
        <f t="shared" si="0"/>
        <v>1.6653703703703705E-2</v>
      </c>
      <c r="E31">
        <v>9.9923000000000002</v>
      </c>
      <c r="F31" s="1">
        <v>0.4163425925925926</v>
      </c>
      <c r="I31" t="s">
        <v>35</v>
      </c>
      <c r="J31" t="s">
        <v>30</v>
      </c>
      <c r="K31">
        <v>12</v>
      </c>
      <c r="L31">
        <v>1</v>
      </c>
      <c r="M31" t="s">
        <v>18</v>
      </c>
      <c r="N31" t="s">
        <v>19</v>
      </c>
      <c r="O31">
        <f t="shared" si="2"/>
        <v>30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155C6-5A0A-4A49-9105-7CFDE9933E51}">
  <dimension ref="A1:B13"/>
  <sheetViews>
    <sheetView workbookViewId="0">
      <selection activeCell="B9" sqref="B9"/>
    </sheetView>
  </sheetViews>
  <sheetFormatPr defaultRowHeight="15" x14ac:dyDescent="0.25"/>
  <cols>
    <col min="1" max="1" width="13" customWidth="1"/>
    <col min="2" max="2" width="27.42578125" customWidth="1"/>
  </cols>
  <sheetData>
    <row r="1" spans="1:2" ht="16.5" customHeight="1" x14ac:dyDescent="0.25">
      <c r="A1" t="s">
        <v>3</v>
      </c>
      <c r="B1" t="s">
        <v>1</v>
      </c>
    </row>
    <row r="2" spans="1:2" x14ac:dyDescent="0.25">
      <c r="A2">
        <v>1</v>
      </c>
      <c r="B2" t="s">
        <v>7</v>
      </c>
    </row>
    <row r="3" spans="1:2" x14ac:dyDescent="0.25">
      <c r="A3">
        <v>2</v>
      </c>
      <c r="B3" t="s">
        <v>8</v>
      </c>
    </row>
    <row r="4" spans="1:2" x14ac:dyDescent="0.25">
      <c r="A4">
        <v>3</v>
      </c>
      <c r="B4" t="s">
        <v>9</v>
      </c>
    </row>
    <row r="5" spans="1:2" x14ac:dyDescent="0.25">
      <c r="A5">
        <v>4</v>
      </c>
      <c r="B5" t="s">
        <v>10</v>
      </c>
    </row>
    <row r="6" spans="1:2" x14ac:dyDescent="0.25">
      <c r="A6">
        <v>5</v>
      </c>
      <c r="B6" t="s">
        <v>11</v>
      </c>
    </row>
    <row r="7" spans="1:2" x14ac:dyDescent="0.25">
      <c r="A7">
        <v>6</v>
      </c>
      <c r="B7" t="s">
        <v>12</v>
      </c>
    </row>
    <row r="8" spans="1:2" x14ac:dyDescent="0.25">
      <c r="A8">
        <v>7</v>
      </c>
      <c r="B8" t="s">
        <v>13</v>
      </c>
    </row>
    <row r="9" spans="1:2" x14ac:dyDescent="0.25">
      <c r="A9">
        <v>8</v>
      </c>
      <c r="B9" t="s">
        <v>14</v>
      </c>
    </row>
    <row r="10" spans="1:2" x14ac:dyDescent="0.25">
      <c r="A10">
        <v>9</v>
      </c>
      <c r="B10" t="s">
        <v>15</v>
      </c>
    </row>
    <row r="11" spans="1:2" x14ac:dyDescent="0.25">
      <c r="A11">
        <v>10</v>
      </c>
      <c r="B11" t="s">
        <v>16</v>
      </c>
    </row>
    <row r="12" spans="1:2" x14ac:dyDescent="0.25">
      <c r="A12">
        <v>11</v>
      </c>
      <c r="B12" t="s">
        <v>17</v>
      </c>
    </row>
    <row r="13" spans="1:2" x14ac:dyDescent="0.25">
      <c r="A13">
        <v>12</v>
      </c>
      <c r="B13" t="s">
        <v>18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25B454-AD88-4C2B-BF83-DB3A0DC198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Ciclo</vt:lpstr>
      <vt:lpstr>uniao ciclo atividade</vt:lpstr>
      <vt:lpstr>RegistroTodos (2)</vt:lpstr>
      <vt:lpstr>RegistroTodos</vt:lpstr>
      <vt:lpstr>sessao</vt:lpstr>
      <vt:lpstr>Atividade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BARBOSA DA SILVA</dc:creator>
  <cp:lastModifiedBy>Juan Pablo Barbosa da Silva</cp:lastModifiedBy>
  <dcterms:created xsi:type="dcterms:W3CDTF">2025-08-29T18:06:24Z</dcterms:created>
  <dcterms:modified xsi:type="dcterms:W3CDTF">2026-01-31T23:15:57Z</dcterms:modified>
</cp:coreProperties>
</file>